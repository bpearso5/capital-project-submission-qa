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Weekly_Exec_Report" sheetId="2" state="visible" r:id="rId4"/>
    <sheet name="Submission_Log" sheetId="3" state="visible" r:id="rId5"/>
    <sheet name="Rejection_Pareto" sheetId="4" state="visible" r:id="rId6"/>
    <sheet name="PreSubmit_Checklist" sheetId="5" state="visible" r:id="rId7"/>
    <sheet name="Budget_Status" sheetId="6" state="visible" r:id="rId8"/>
  </sheets>
  <definedNames>
    <definedName function="false" hidden="true" localSheetId="2" name="_xlnm._FilterDatabase" vbProcedure="false">Submission_Log!$A$4:$L$100</definedName>
    <definedName function="false" hidden="false" localSheetId="1" name="_xlnm.Print_Area" vbProcedure="false">Weekly_Exec_Report!$A$1:$E$43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<sst xmlns="http://schemas.openxmlformats.org/spreadsheetml/2006/main" count="813" uniqueCount="272">
  <si>
    <t xml:space="preserve">Capital Project Submission QA &amp; Weekly Executive Report</t>
  </si>
  <si>
    <t xml:space="preserve">Recreated work sample - Brystal Pearson, CAPM - ALL DATA IS SYNTHETIC</t>
  </si>
  <si>
    <t xml:space="preserve">What this is</t>
  </si>
  <si>
    <t xml:space="preserve">A rebuilt version of work I did as a contract Project Analyst on a multi-region healthcare capital portfolio: routing invoices, POs, and commitment changes for approval, finding why submissions kept getting rejected, fixing it with a standardized pre-submission checklist, and reporting budget position to leadership weekly.</t>
  </si>
  <si>
    <t xml:space="preserve">Data</t>
  </si>
  <si>
    <t xml:space="preserve">Every project, person, amount, and date is invented. Rejection categories are modeled on the kinds of issues I saw; no client records, files, or screenshots are included.</t>
  </si>
  <si>
    <t xml:space="preserve">The story in one line</t>
  </si>
  <si>
    <t xml:space="preserve">I stopped fixing rejected submissions one at a time and fixed the template they were built from.</t>
  </si>
  <si>
    <t xml:space="preserve">Tab</t>
  </si>
  <si>
    <t xml:space="preserve">Purpose</t>
  </si>
  <si>
    <t xml:space="preserve">Submission_Log</t>
  </si>
  <si>
    <t xml:space="preserve">96 synthetic submissions over 12 weeks. Weeks 1-6 = before the checklist; weeks 7-12 = after.</t>
  </si>
  <si>
    <t xml:space="preserve">Rejection_Pareto</t>
  </si>
  <si>
    <t xml:space="preserve">Rejections by reason, before vs. after, with cumulative % - the analysis that pointed to the fix.</t>
  </si>
  <si>
    <t xml:space="preserve">PreSubmit_Checklist</t>
  </si>
  <si>
    <t xml:space="preserve">The standardized checklist. Each item is tied to the rejection reason it prevents.</t>
  </si>
  <si>
    <t xml:space="preserve">Budget_Status</t>
  </si>
  <si>
    <t xml:space="preserve">12 capital projects: approved budget, committed, invoiced, remaining, closeout date, and an automatic flag.</t>
  </si>
  <si>
    <t xml:space="preserve">Weekly_Exec_Report</t>
  </si>
  <si>
    <t xml:space="preserve">One-page leadership summary. Change the report date (gray cell) and every figure recalculates.</t>
  </si>
  <si>
    <t xml:space="preserve">Legend</t>
  </si>
  <si>
    <t xml:space="preserve">Gray-filled cells are inputs you can edit. Everything else is a formula or synthetic source data.</t>
  </si>
  <si>
    <t xml:space="preserve">Note on results</t>
  </si>
  <si>
    <t xml:space="preserve">Before/after figures here come from synthetic data and illustrate the method. They are not measured outcomes from the engagement.</t>
  </si>
  <si>
    <t xml:space="preserve">Weekly Executive Report - Capital Portfolio</t>
  </si>
  <si>
    <t xml:space="preserve">Synthetic data. One page, decision-ready.</t>
  </si>
  <si>
    <t xml:space="preserve">Report date</t>
  </si>
  <si>
    <t xml:space="preserve">Report week</t>
  </si>
  <si>
    <t xml:space="preserve">Week 1 starts 09/01/2025; capped at week 12 (end of sample data).</t>
  </si>
  <si>
    <t xml:space="preserve">1. BUDGET POSITION</t>
  </si>
  <si>
    <t xml:space="preserve">Measure</t>
  </si>
  <si>
    <t xml:space="preserve">Value</t>
  </si>
  <si>
    <t xml:space="preserve">Approved budget</t>
  </si>
  <si>
    <t xml:space="preserve">Committed</t>
  </si>
  <si>
    <t xml:space="preserve">Invoiced to date</t>
  </si>
  <si>
    <t xml:space="preserve">Uncommitted budget</t>
  </si>
  <si>
    <t xml:space="preserve">% of budget committed</t>
  </si>
  <si>
    <t xml:space="preserve">2. SUBMISSION QUALITY</t>
  </si>
  <si>
    <t xml:space="preserve">Before checklist (wk 1-6)</t>
  </si>
  <si>
    <t xml:space="preserve">After checklist (wk 7-12)</t>
  </si>
  <si>
    <t xml:space="preserve">This week</t>
  </si>
  <si>
    <t xml:space="preserve">Submissions</t>
  </si>
  <si>
    <t xml:space="preserve">Rejected on first pass</t>
  </si>
  <si>
    <t xml:space="preserve">First-pass approval rate</t>
  </si>
  <si>
    <t xml:space="preserve">Avg days to final approval</t>
  </si>
  <si>
    <t xml:space="preserve">Top rejection reason before checklist:</t>
  </si>
  <si>
    <t xml:space="preserve">Top rejection reason after checklist:</t>
  </si>
  <si>
    <t xml:space="preserve">3. PROJECTS NEEDING ATTENTION</t>
  </si>
  <si>
    <t xml:space="preserve">Flagged projects:</t>
  </si>
  <si>
    <t xml:space="preserve">Project ID</t>
  </si>
  <si>
    <t xml:space="preserve">Project</t>
  </si>
  <si>
    <t xml:space="preserve">Owner</t>
  </si>
  <si>
    <t xml:space="preserve">Flag</t>
  </si>
  <si>
    <t xml:space="preserve">Open Commitment ($)</t>
  </si>
  <si>
    <t xml:space="preserve">4. DECISIONS / ASKS FOR LEADERSHIP</t>
  </si>
  <si>
    <t xml:space="preserve">1. Approve a quarterly budget-line refresh so R2 (over remaining balance) stops recurring.</t>
  </si>
  <si>
    <t xml:space="preserve">2. Publish an approver routing matrix by amount and region to close out R5.</t>
  </si>
  <si>
    <t xml:space="preserve">3. Confirm owners and revised dates for every project flagged 'Closeout overdue'.</t>
  </si>
  <si>
    <t xml:space="preserve">Submission Log</t>
  </si>
  <si>
    <t xml:space="preserve">Synthetic. Checklist introduced at week 7.</t>
  </si>
  <si>
    <t xml:space="preserve">Submission ID</t>
  </si>
  <si>
    <t xml:space="preserve">Week</t>
  </si>
  <si>
    <t xml:space="preserve">Submitted</t>
  </si>
  <si>
    <t xml:space="preserve">Doc Type</t>
  </si>
  <si>
    <t xml:space="preserve">Amount ($)</t>
  </si>
  <si>
    <t xml:space="preserve">Submitted By</t>
  </si>
  <si>
    <t xml:space="preserve">Checklist Used</t>
  </si>
  <si>
    <t xml:space="preserve">First-Pass Outcome</t>
  </si>
  <si>
    <t xml:space="preserve">Rejection Reason</t>
  </si>
  <si>
    <t xml:space="preserve">Resubmissions</t>
  </si>
  <si>
    <t xml:space="preserve">Days to Final Approval</t>
  </si>
  <si>
    <t xml:space="preserve">S-1001</t>
  </si>
  <si>
    <t xml:space="preserve">CP-2411</t>
  </si>
  <si>
    <t xml:space="preserve">Commitment Change</t>
  </si>
  <si>
    <t xml:space="preserve">J. Alvarez</t>
  </si>
  <si>
    <t xml:space="preserve">No</t>
  </si>
  <si>
    <t xml:space="preserve">Rejected</t>
  </si>
  <si>
    <t xml:space="preserve">Required backup missing (signed pay app, lien waiver)</t>
  </si>
  <si>
    <t xml:space="preserve">S-1002</t>
  </si>
  <si>
    <t xml:space="preserve">CP-2406</t>
  </si>
  <si>
    <t xml:space="preserve">PO</t>
  </si>
  <si>
    <t xml:space="preserve">D. Okafor</t>
  </si>
  <si>
    <t xml:space="preserve">Retainage or math error</t>
  </si>
  <si>
    <t xml:space="preserve">S-1003</t>
  </si>
  <si>
    <t xml:space="preserve">CP-2407</t>
  </si>
  <si>
    <t xml:space="preserve">S. Patel</t>
  </si>
  <si>
    <t xml:space="preserve">S-1004</t>
  </si>
  <si>
    <t xml:space="preserve">S-1005</t>
  </si>
  <si>
    <t xml:space="preserve">CP-2401</t>
  </si>
  <si>
    <t xml:space="preserve">Invoice</t>
  </si>
  <si>
    <t xml:space="preserve">PO number missing or does not match commitment</t>
  </si>
  <si>
    <t xml:space="preserve">S-1006</t>
  </si>
  <si>
    <t xml:space="preserve">CP-2410</t>
  </si>
  <si>
    <t xml:space="preserve">Approved</t>
  </si>
  <si>
    <t xml:space="preserve">S-1007</t>
  </si>
  <si>
    <t xml:space="preserve">CP-2405</t>
  </si>
  <si>
    <t xml:space="preserve">M. Chen</t>
  </si>
  <si>
    <t xml:space="preserve">S-1008</t>
  </si>
  <si>
    <t xml:space="preserve">CP-2409</t>
  </si>
  <si>
    <t xml:space="preserve">K. Brooks</t>
  </si>
  <si>
    <t xml:space="preserve">S-1009</t>
  </si>
  <si>
    <t xml:space="preserve">CP-2403</t>
  </si>
  <si>
    <t xml:space="preserve">S-1010</t>
  </si>
  <si>
    <t xml:space="preserve">CP-2408</t>
  </si>
  <si>
    <t xml:space="preserve">S-1011</t>
  </si>
  <si>
    <t xml:space="preserve">CP-2404</t>
  </si>
  <si>
    <t xml:space="preserve">Amount exceeds remaining commitment balance</t>
  </si>
  <si>
    <t xml:space="preserve">S-1012</t>
  </si>
  <si>
    <t xml:space="preserve">S-1013</t>
  </si>
  <si>
    <t xml:space="preserve">S-1014</t>
  </si>
  <si>
    <t xml:space="preserve">Cost code missing or not on approved budget line</t>
  </si>
  <si>
    <t xml:space="preserve">S-1015</t>
  </si>
  <si>
    <t xml:space="preserve">S-1016</t>
  </si>
  <si>
    <t xml:space="preserve">S-1017</t>
  </si>
  <si>
    <t xml:space="preserve">S-1018</t>
  </si>
  <si>
    <t xml:space="preserve">CP-2402</t>
  </si>
  <si>
    <t xml:space="preserve">S-1019</t>
  </si>
  <si>
    <t xml:space="preserve">S-1020</t>
  </si>
  <si>
    <t xml:space="preserve">Routed to wrong approver</t>
  </si>
  <si>
    <t xml:space="preserve">S-1021</t>
  </si>
  <si>
    <t xml:space="preserve">S-1022</t>
  </si>
  <si>
    <t xml:space="preserve">S-1023</t>
  </si>
  <si>
    <t xml:space="preserve">S-1024</t>
  </si>
  <si>
    <t xml:space="preserve">S-1025</t>
  </si>
  <si>
    <t xml:space="preserve">S-1026</t>
  </si>
  <si>
    <t xml:space="preserve">S-1027</t>
  </si>
  <si>
    <t xml:space="preserve">S-1028</t>
  </si>
  <si>
    <t xml:space="preserve">S-1029</t>
  </si>
  <si>
    <t xml:space="preserve">S-1030</t>
  </si>
  <si>
    <t xml:space="preserve">S-1031</t>
  </si>
  <si>
    <t xml:space="preserve">S-1032</t>
  </si>
  <si>
    <t xml:space="preserve">S-1033</t>
  </si>
  <si>
    <t xml:space="preserve">S-1034</t>
  </si>
  <si>
    <t xml:space="preserve">S-1035</t>
  </si>
  <si>
    <t xml:space="preserve">S-1036</t>
  </si>
  <si>
    <t xml:space="preserve">S-1037</t>
  </si>
  <si>
    <t xml:space="preserve">S-1038</t>
  </si>
  <si>
    <t xml:space="preserve">S-1039</t>
  </si>
  <si>
    <t xml:space="preserve">S-1040</t>
  </si>
  <si>
    <t xml:space="preserve">S-1041</t>
  </si>
  <si>
    <t xml:space="preserve">S-1042</t>
  </si>
  <si>
    <t xml:space="preserve">S-1043</t>
  </si>
  <si>
    <t xml:space="preserve">S-1044</t>
  </si>
  <si>
    <t xml:space="preserve">S-1045</t>
  </si>
  <si>
    <t xml:space="preserve">S-1046</t>
  </si>
  <si>
    <t xml:space="preserve">S-1047</t>
  </si>
  <si>
    <t xml:space="preserve">S-1048</t>
  </si>
  <si>
    <t xml:space="preserve">S-1049</t>
  </si>
  <si>
    <t xml:space="preserve">Yes</t>
  </si>
  <si>
    <t xml:space="preserve">S-1050</t>
  </si>
  <si>
    <t xml:space="preserve">S-1051</t>
  </si>
  <si>
    <t xml:space="preserve">S-1052</t>
  </si>
  <si>
    <t xml:space="preserve">S-1053</t>
  </si>
  <si>
    <t xml:space="preserve">S-1054</t>
  </si>
  <si>
    <t xml:space="preserve">S-1055</t>
  </si>
  <si>
    <t xml:space="preserve">S-1056</t>
  </si>
  <si>
    <t xml:space="preserve">S-1057</t>
  </si>
  <si>
    <t xml:space="preserve">S-1058</t>
  </si>
  <si>
    <t xml:space="preserve">S-1059</t>
  </si>
  <si>
    <t xml:space="preserve">S-1060</t>
  </si>
  <si>
    <t xml:space="preserve">S-1061</t>
  </si>
  <si>
    <t xml:space="preserve">S-1062</t>
  </si>
  <si>
    <t xml:space="preserve">S-1063</t>
  </si>
  <si>
    <t xml:space="preserve">S-1064</t>
  </si>
  <si>
    <t xml:space="preserve">S-1065</t>
  </si>
  <si>
    <t xml:space="preserve">S-1066</t>
  </si>
  <si>
    <t xml:space="preserve">S-1067</t>
  </si>
  <si>
    <t xml:space="preserve">S-1068</t>
  </si>
  <si>
    <t xml:space="preserve">S-1069</t>
  </si>
  <si>
    <t xml:space="preserve">S-1070</t>
  </si>
  <si>
    <t xml:space="preserve">S-1071</t>
  </si>
  <si>
    <t xml:space="preserve">S-1072</t>
  </si>
  <si>
    <t xml:space="preserve">S-1073</t>
  </si>
  <si>
    <t xml:space="preserve">S-1074</t>
  </si>
  <si>
    <t xml:space="preserve">S-1075</t>
  </si>
  <si>
    <t xml:space="preserve">S-1076</t>
  </si>
  <si>
    <t xml:space="preserve">S-1077</t>
  </si>
  <si>
    <t xml:space="preserve">S-1078</t>
  </si>
  <si>
    <t xml:space="preserve">S-1079</t>
  </si>
  <si>
    <t xml:space="preserve">S-1080</t>
  </si>
  <si>
    <t xml:space="preserve">S-1081</t>
  </si>
  <si>
    <t xml:space="preserve">S-1082</t>
  </si>
  <si>
    <t xml:space="preserve">S-1083</t>
  </si>
  <si>
    <t xml:space="preserve">S-1084</t>
  </si>
  <si>
    <t xml:space="preserve">S-1085</t>
  </si>
  <si>
    <t xml:space="preserve">S-1086</t>
  </si>
  <si>
    <t xml:space="preserve">S-1087</t>
  </si>
  <si>
    <t xml:space="preserve">S-1088</t>
  </si>
  <si>
    <t xml:space="preserve">S-1089</t>
  </si>
  <si>
    <t xml:space="preserve">S-1090</t>
  </si>
  <si>
    <t xml:space="preserve">S-1091</t>
  </si>
  <si>
    <t xml:space="preserve">S-1092</t>
  </si>
  <si>
    <t xml:space="preserve">S-1093</t>
  </si>
  <si>
    <t xml:space="preserve">S-1094</t>
  </si>
  <si>
    <t xml:space="preserve">S-1095</t>
  </si>
  <si>
    <t xml:space="preserve">S-1096</t>
  </si>
  <si>
    <t xml:space="preserve">Rejection Pareto - Before vs. After Checklist</t>
  </si>
  <si>
    <t xml:space="preserve">Before = weeks 1-6 (no checklist). After = weeks 7-12.</t>
  </si>
  <si>
    <t xml:space="preserve">Code</t>
  </si>
  <si>
    <t xml:space="preserve">Before</t>
  </si>
  <si>
    <t xml:space="preserve">% of Before</t>
  </si>
  <si>
    <t xml:space="preserve">Cumulative % (Before)</t>
  </si>
  <si>
    <t xml:space="preserve">After</t>
  </si>
  <si>
    <t xml:space="preserve">Change</t>
  </si>
  <si>
    <t xml:space="preserve">R1</t>
  </si>
  <si>
    <t xml:space="preserve">R4</t>
  </si>
  <si>
    <t xml:space="preserve">R6</t>
  </si>
  <si>
    <t xml:space="preserve">R2</t>
  </si>
  <si>
    <t xml:space="preserve">R3</t>
  </si>
  <si>
    <t xml:space="preserve">R5</t>
  </si>
  <si>
    <t xml:space="preserve">Total rejections</t>
  </si>
  <si>
    <t xml:space="preserve">Read it this way:</t>
  </si>
  <si>
    <t xml:space="preserve">The top three reasons by count were preventable before submission - they were template problems, not people problems. That is what the checklist targets.</t>
  </si>
  <si>
    <t xml:space="preserve">R2 and R5 persist after: budget balance and approver changes happen upstream, so they need a budget refresh and a routing matrix, not just a checklist.</t>
  </si>
  <si>
    <t xml:space="preserve">Pre-Submission Checklist</t>
  </si>
  <si>
    <t xml:space="preserve">Completed by the submitter before routing. Analyst confirms before it moves forward.</t>
  </si>
  <si>
    <t xml:space="preserve">#</t>
  </si>
  <si>
    <t xml:space="preserve">Check</t>
  </si>
  <si>
    <t xml:space="preserve">How to verify</t>
  </si>
  <si>
    <t xml:space="preserve">Prevents</t>
  </si>
  <si>
    <t xml:space="preserve">Done (Y/N)</t>
  </si>
  <si>
    <t xml:space="preserve">Cost code matches an approved budget line</t>
  </si>
  <si>
    <t xml:space="preserve">Compare to current budget line list for the project</t>
  </si>
  <si>
    <t xml:space="preserve">Y</t>
  </si>
  <si>
    <t xml:space="preserve">Amount is within the remaining commitment balance</t>
  </si>
  <si>
    <t xml:space="preserve">Remaining = commitment - invoiced to date; pull from Budget_Status</t>
  </si>
  <si>
    <t xml:space="preserve">PO number present and matches the commitment</t>
  </si>
  <si>
    <t xml:space="preserve">Match PO on document to commitment record</t>
  </si>
  <si>
    <t xml:space="preserve">Signed pay application attached</t>
  </si>
  <si>
    <t xml:space="preserve">Contractor and architect signatures present</t>
  </si>
  <si>
    <t xml:space="preserve">Conditional lien waiver attached for this period</t>
  </si>
  <si>
    <t xml:space="preserve">Period and amount match the pay application</t>
  </si>
  <si>
    <t xml:space="preserve">Approver matches the routing matrix for this amount and region</t>
  </si>
  <si>
    <t xml:space="preserve">Check threshold tier before routing</t>
  </si>
  <si>
    <t xml:space="preserve">Retainage calculated at contract rate</t>
  </si>
  <si>
    <t xml:space="preserve">Recalculate; line totals tie to the summary</t>
  </si>
  <si>
    <t xml:space="preserve">Document type and project ID are correct</t>
  </si>
  <si>
    <t xml:space="preserve">Matches project record exactly</t>
  </si>
  <si>
    <t xml:space="preserve">Items complete</t>
  </si>
  <si>
    <t xml:space="preserve">Ready to route?</t>
  </si>
  <si>
    <t xml:space="preserve">Example row: enter Y or N in the gray cells. All eight must be Y before a submission routes.</t>
  </si>
  <si>
    <t xml:space="preserve">Capital Project Budget Status</t>
  </si>
  <si>
    <t xml:space="preserve">Synthetic. Amounts in dollars.</t>
  </si>
  <si>
    <t xml:space="preserve">Report date:</t>
  </si>
  <si>
    <t xml:space="preserve">Region</t>
  </si>
  <si>
    <t xml:space="preserve">Approved Budget ($)</t>
  </si>
  <si>
    <t xml:space="preserve">Committed ($)</t>
  </si>
  <si>
    <t xml:space="preserve">Invoiced to Date ($)</t>
  </si>
  <si>
    <t xml:space="preserve">Uncommitted Budget ($)</t>
  </si>
  <si>
    <t xml:space="preserve">% Committed</t>
  </si>
  <si>
    <t xml:space="preserve">Status</t>
  </si>
  <si>
    <t xml:space="preserve">Target Closeout</t>
  </si>
  <si>
    <t xml:space="preserve">Central - OR Renovation</t>
  </si>
  <si>
    <t xml:space="preserve">Central</t>
  </si>
  <si>
    <t xml:space="preserve">Active</t>
  </si>
  <si>
    <t xml:space="preserve">East - Imaging Suite</t>
  </si>
  <si>
    <t xml:space="preserve">East</t>
  </si>
  <si>
    <t xml:space="preserve">West - HVAC Replacement</t>
  </si>
  <si>
    <t xml:space="preserve">West</t>
  </si>
  <si>
    <t xml:space="preserve">Central - ED Expansion</t>
  </si>
  <si>
    <t xml:space="preserve">East - Roof Replacement</t>
  </si>
  <si>
    <t xml:space="preserve">West - Pharmacy Upgrade</t>
  </si>
  <si>
    <t xml:space="preserve">Closeout</t>
  </si>
  <si>
    <t xml:space="preserve">Central - Generator Install</t>
  </si>
  <si>
    <t xml:space="preserve">East - Lab Remodel</t>
  </si>
  <si>
    <t xml:space="preserve">West - Parking Structure</t>
  </si>
  <si>
    <t xml:space="preserve">Central - Patient Tower Refresh</t>
  </si>
  <si>
    <t xml:space="preserve">East - Sterile Processing</t>
  </si>
  <si>
    <t xml:space="preserve">Closed</t>
  </si>
  <si>
    <t xml:space="preserve">CP-2412</t>
  </si>
  <si>
    <t xml:space="preserve">West - Clinic Build-Out</t>
  </si>
  <si>
    <t xml:space="preserve">Portfolio total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</si>
</sst>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m/dd/yyyy"/>
    <numFmt numFmtId="166" formatCode="\$#,##0"/>
    <numFmt numFmtId="167" formatCode="0.0%"/>
    <numFmt numFmtId="168" formatCode="0"/>
    <numFmt numFmtId="169" formatCode="0.0"/>
    <numFmt numFmtId="170" formatCode="\$#,##0;&quot;($&quot;#,##0\);\-"/>
    <numFmt numFmtId="171" formatCode="\+0;\-0;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D9D9D9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</font>
      <fill>
        <patternFill>
          <bgColor rgb="FFE7E6E6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b val="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5.05" hidden="false" customHeight="false" outlineLevel="0" collapsed="false">
      <c r="A4" s="3" t="s">
        <v>2</v>
      </c>
      <c r="B4" s="4" t="s">
        <v>3</v>
      </c>
    </row>
    <row r="5" customFormat="false" ht="23.8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/>
      <c r="B7" s="4"/>
    </row>
    <row r="8" customFormat="false" ht="15" hidden="false" customHeight="false" outlineLevel="0" collapsed="false">
      <c r="A8" s="5" t="s">
        <v>8</v>
      </c>
      <c r="B8" s="6" t="s">
        <v>9</v>
      </c>
    </row>
    <row r="9" customFormat="false" ht="15" hidden="false" customHeight="false" outlineLevel="0" collapsed="false">
      <c r="A9" s="3" t="s">
        <v>10</v>
      </c>
      <c r="B9" s="4" t="s">
        <v>11</v>
      </c>
    </row>
    <row r="10" customFormat="false" ht="15" hidden="false" customHeight="false" outlineLevel="0" collapsed="false">
      <c r="A10" s="3" t="s">
        <v>12</v>
      </c>
      <c r="B10" s="4" t="s">
        <v>13</v>
      </c>
    </row>
    <row r="11" customFormat="false" ht="15" hidden="false" customHeight="false" outlineLevel="0" collapsed="false">
      <c r="A11" s="3" t="s">
        <v>14</v>
      </c>
      <c r="B11" s="4" t="s">
        <v>15</v>
      </c>
    </row>
    <row r="12" customFormat="false" ht="15" hidden="false" customHeight="false" outlineLevel="0" collapsed="false">
      <c r="A12" s="3" t="s">
        <v>16</v>
      </c>
      <c r="B12" s="4" t="s">
        <v>17</v>
      </c>
    </row>
    <row r="13" customFormat="false" ht="15" hidden="false" customHeight="false" outlineLevel="0" collapsed="false">
      <c r="A13" s="3" t="s">
        <v>18</v>
      </c>
      <c r="B13" s="4" t="s">
        <v>19</v>
      </c>
    </row>
    <row r="14" customFormat="false" ht="15" hidden="false" customHeight="false" outlineLevel="0" collapsed="false">
      <c r="A14" s="3"/>
      <c r="B14" s="4"/>
    </row>
    <row r="15" customFormat="false" ht="15" hidden="false" customHeight="false" outlineLevel="0" collapsed="false">
      <c r="A15" s="3" t="s">
        <v>20</v>
      </c>
      <c r="B15" s="4" t="s">
        <v>21</v>
      </c>
    </row>
    <row r="16" customFormat="false" ht="23.85" hidden="false" customHeight="false" outlineLevel="0" collapsed="false">
      <c r="A16" s="3" t="s">
        <v>22</v>
      </c>
      <c r="B16" s="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4" customFormat="false" ht="15" hidden="false" customHeight="false" outlineLevel="0" collapsed="false">
      <c r="A4" s="7" t="s">
        <v>26</v>
      </c>
      <c r="C4" s="8" t="n">
        <v>45982</v>
      </c>
    </row>
    <row r="5" customFormat="false" ht="15" hidden="false" customHeight="false" outlineLevel="0" collapsed="false">
      <c r="A5" s="7" t="s">
        <v>27</v>
      </c>
      <c r="C5" s="7" t="n">
        <f aca="false">MIN(12,MAX(1,INT((C4-DATE(2025,9,1))/7)+1))</f>
        <v>12</v>
      </c>
      <c r="D5" s="2" t="s">
        <v>28</v>
      </c>
    </row>
    <row r="7" customFormat="false" ht="15" hidden="false" customHeight="false" outlineLevel="0" collapsed="false">
      <c r="A7" s="7" t="s">
        <v>29</v>
      </c>
    </row>
    <row r="8" customFormat="false" ht="15" hidden="false" customHeight="false" outlineLevel="0" collapsed="false">
      <c r="A8" s="9" t="s">
        <v>30</v>
      </c>
      <c r="B8" s="9"/>
      <c r="C8" s="9" t="s">
        <v>31</v>
      </c>
    </row>
    <row r="9" customFormat="false" ht="15" hidden="false" customHeight="false" outlineLevel="0" collapsed="false">
      <c r="A9" s="10" t="s">
        <v>32</v>
      </c>
      <c r="B9" s="10"/>
      <c r="C9" s="11" t="n">
        <f aca="false">Budget_Status!E18</f>
        <v>14010000</v>
      </c>
    </row>
    <row r="10" customFormat="false" ht="15" hidden="false" customHeight="false" outlineLevel="0" collapsed="false">
      <c r="A10" s="10" t="s">
        <v>33</v>
      </c>
      <c r="B10" s="10"/>
      <c r="C10" s="11" t="n">
        <f aca="false">Budget_Status!F18</f>
        <v>12072000</v>
      </c>
    </row>
    <row r="11" customFormat="false" ht="15" hidden="false" customHeight="false" outlineLevel="0" collapsed="false">
      <c r="A11" s="10" t="s">
        <v>34</v>
      </c>
      <c r="B11" s="10"/>
      <c r="C11" s="11" t="n">
        <f aca="false">Budget_Status!G18</f>
        <v>9569000</v>
      </c>
    </row>
    <row r="12" customFormat="false" ht="15" hidden="false" customHeight="false" outlineLevel="0" collapsed="false">
      <c r="A12" s="10" t="s">
        <v>35</v>
      </c>
      <c r="B12" s="10"/>
      <c r="C12" s="11" t="n">
        <f aca="false">Budget_Status!H18</f>
        <v>1938000</v>
      </c>
    </row>
    <row r="13" customFormat="false" ht="15" hidden="false" customHeight="false" outlineLevel="0" collapsed="false">
      <c r="A13" s="10" t="s">
        <v>36</v>
      </c>
      <c r="B13" s="10"/>
      <c r="C13" s="12" t="n">
        <f aca="false">Budget_Status!J18</f>
        <v>0.861670235546039</v>
      </c>
    </row>
    <row r="15" customFormat="false" ht="15" hidden="false" customHeight="false" outlineLevel="0" collapsed="false">
      <c r="A15" s="7" t="s">
        <v>37</v>
      </c>
    </row>
    <row r="16" customFormat="false" ht="30" hidden="false" customHeight="true" outlineLevel="0" collapsed="false">
      <c r="A16" s="9" t="s">
        <v>30</v>
      </c>
      <c r="B16" s="9" t="s">
        <v>38</v>
      </c>
      <c r="C16" s="9" t="s">
        <v>39</v>
      </c>
      <c r="D16" s="9" t="s">
        <v>40</v>
      </c>
    </row>
    <row r="17" customFormat="false" ht="15" hidden="false" customHeight="false" outlineLevel="0" collapsed="false">
      <c r="A17" s="10" t="s">
        <v>41</v>
      </c>
      <c r="B17" s="13" t="n">
        <f aca="false">COUNTIFS(Submission_Log!$H$5:$H$100,"No")</f>
        <v>48</v>
      </c>
      <c r="C17" s="13" t="n">
        <f aca="false">COUNTIFS(Submission_Log!$H$5:$H$100,"Yes")</f>
        <v>48</v>
      </c>
      <c r="D17" s="13" t="n">
        <f aca="false">COUNTIFS(Submission_Log!$B$5:$B$100,$C$5)</f>
        <v>8</v>
      </c>
    </row>
    <row r="18" customFormat="false" ht="15" hidden="false" customHeight="false" outlineLevel="0" collapsed="false">
      <c r="A18" s="10" t="s">
        <v>42</v>
      </c>
      <c r="B18" s="13" t="n">
        <f aca="false">COUNTIFS(Submission_Log!$H$5:$H$100,"No",Submission_Log!$I$5:$I$100,"Rejected")</f>
        <v>22</v>
      </c>
      <c r="C18" s="13" t="n">
        <f aca="false">COUNTIFS(Submission_Log!$H$5:$H$100,"Yes",Submission_Log!$I$5:$I$100,"Rejected")</f>
        <v>5</v>
      </c>
      <c r="D18" s="13" t="n">
        <f aca="false">COUNTIFS(Submission_Log!$B$5:$B$100,$C$5,Submission_Log!$I$5:$I$100,"Rejected")</f>
        <v>0</v>
      </c>
    </row>
    <row r="19" customFormat="false" ht="15" hidden="false" customHeight="false" outlineLevel="0" collapsed="false">
      <c r="A19" s="10" t="s">
        <v>43</v>
      </c>
      <c r="B19" s="12" t="n">
        <f aca="false">IFERROR(1-B18/B17,0)</f>
        <v>0.541666666666667</v>
      </c>
      <c r="C19" s="12" t="n">
        <f aca="false">IFERROR(1-C18/C17,0)</f>
        <v>0.895833333333333</v>
      </c>
      <c r="D19" s="12" t="n">
        <f aca="false">IFERROR(1-D18/D17,0)</f>
        <v>1</v>
      </c>
    </row>
    <row r="20" customFormat="false" ht="15" hidden="false" customHeight="false" outlineLevel="0" collapsed="false">
      <c r="A20" s="10" t="s">
        <v>44</v>
      </c>
      <c r="B20" s="14" t="n">
        <f aca="false">AVERAGEIFS(Submission_Log!$L$5:$L$100,Submission_Log!$H$5:$H$100,"No")</f>
        <v>6.91666666666667</v>
      </c>
      <c r="C20" s="14" t="n">
        <f aca="false">AVERAGEIFS(Submission_Log!$L$5:$L$100,Submission_Log!$H$5:$H$100,"Yes")</f>
        <v>4.39583333333333</v>
      </c>
      <c r="D20" s="14" t="n">
        <f aca="false">IFERROR(AVERAGEIFS(Submission_Log!$L$5:$L$100,Submission_Log!$B$5:$B$100,$C$5),0)</f>
        <v>3.25</v>
      </c>
    </row>
    <row r="21" customFormat="false" ht="15" hidden="false" customHeight="false" outlineLevel="0" collapsed="false">
      <c r="A21" s="7" t="s">
        <v>45</v>
      </c>
      <c r="C21" s="0" t="str">
        <f aca="false">INDEX(Rejection_Pareto!B5:B10,MATCH(MAX(Rejection_Pareto!C5:C10),Rejection_Pareto!C5:C10,0))</f>
        <v>Cost code missing or not on approved budget line</v>
      </c>
    </row>
    <row r="22" customFormat="false" ht="15" hidden="false" customHeight="false" outlineLevel="0" collapsed="false">
      <c r="A22" s="7" t="s">
        <v>46</v>
      </c>
      <c r="C22" s="0" t="str">
        <f aca="false">INDEX(Rejection_Pareto!B5:B10,MATCH(MAX(Rejection_Pareto!F5:F10),Rejection_Pareto!F5:F10,0))</f>
        <v>Amount exceeds remaining commitment balance</v>
      </c>
    </row>
    <row r="24" customFormat="false" ht="15" hidden="false" customHeight="false" outlineLevel="0" collapsed="false">
      <c r="A24" s="7" t="s">
        <v>47</v>
      </c>
    </row>
    <row r="25" customFormat="false" ht="15" hidden="false" customHeight="false" outlineLevel="0" collapsed="false">
      <c r="A25" s="7" t="s">
        <v>48</v>
      </c>
      <c r="C25" s="7" t="n">
        <f aca="false">COUNTIF(Budget_Status!M6:M17,"?*")</f>
        <v>4</v>
      </c>
    </row>
    <row r="26" customFormat="false" ht="23.85" hidden="false" customHeight="false" outlineLevel="0" collapsed="false">
      <c r="A26" s="9" t="s">
        <v>49</v>
      </c>
      <c r="B26" s="9" t="s">
        <v>50</v>
      </c>
      <c r="C26" s="9" t="s">
        <v>51</v>
      </c>
      <c r="D26" s="9" t="s">
        <v>52</v>
      </c>
      <c r="E26" s="9" t="s">
        <v>53</v>
      </c>
    </row>
    <row r="27" customFormat="false" ht="15" hidden="false" customHeight="false" outlineLevel="0" collapsed="false">
      <c r="A27" s="10" t="str">
        <f aca="false">Budget_Status!A6</f>
        <v>CP-2401</v>
      </c>
      <c r="B27" s="10" t="str">
        <f aca="false">Budget_Status!B6</f>
        <v>Central - OR Renovation</v>
      </c>
      <c r="C27" s="10" t="str">
        <f aca="false">Budget_Status!D6</f>
        <v>J. Alvarez</v>
      </c>
      <c r="D27" s="10" t="str">
        <f aca="false">IF(Budget_Status!M6="","-",Budget_Status!M6)</f>
        <v>-</v>
      </c>
      <c r="E27" s="15" t="n">
        <f aca="false">Budget_Status!I6</f>
        <v>123000</v>
      </c>
    </row>
    <row r="28" customFormat="false" ht="15" hidden="false" customHeight="false" outlineLevel="0" collapsed="false">
      <c r="A28" s="10" t="str">
        <f aca="false">Budget_Status!A7</f>
        <v>CP-2402</v>
      </c>
      <c r="B28" s="10" t="str">
        <f aca="false">Budget_Status!B7</f>
        <v>East - Imaging Suite</v>
      </c>
      <c r="C28" s="10" t="str">
        <f aca="false">Budget_Status!D7</f>
        <v>K. Brooks</v>
      </c>
      <c r="D28" s="10" t="str">
        <f aca="false">IF(Budget_Status!M7="","-",Budget_Status!M7)</f>
        <v>-</v>
      </c>
      <c r="E28" s="15" t="n">
        <f aca="false">Budget_Status!I7</f>
        <v>582000</v>
      </c>
    </row>
    <row r="29" customFormat="false" ht="15" hidden="false" customHeight="false" outlineLevel="0" collapsed="false">
      <c r="A29" s="10" t="str">
        <f aca="false">Budget_Status!A8</f>
        <v>CP-2403</v>
      </c>
      <c r="B29" s="10" t="str">
        <f aca="false">Budget_Status!B8</f>
        <v>West - HVAC Replacement</v>
      </c>
      <c r="C29" s="10" t="str">
        <f aca="false">Budget_Status!D8</f>
        <v>S. Patel</v>
      </c>
      <c r="D29" s="10" t="str">
        <f aca="false">IF(Budget_Status!M8="","-",Budget_Status!M8)</f>
        <v>-</v>
      </c>
      <c r="E29" s="15" t="n">
        <f aca="false">Budget_Status!I8</f>
        <v>293000</v>
      </c>
    </row>
    <row r="30" customFormat="false" ht="15" hidden="false" customHeight="false" outlineLevel="0" collapsed="false">
      <c r="A30" s="10" t="str">
        <f aca="false">Budget_Status!A9</f>
        <v>CP-2404</v>
      </c>
      <c r="B30" s="10" t="str">
        <f aca="false">Budget_Status!B9</f>
        <v>Central - ED Expansion</v>
      </c>
      <c r="C30" s="10" t="str">
        <f aca="false">Budget_Status!D9</f>
        <v>D. Okafor</v>
      </c>
      <c r="D30" s="10" t="str">
        <f aca="false">IF(Budget_Status!M9="","-",Budget_Status!M9)</f>
        <v>Over 95% committed</v>
      </c>
      <c r="E30" s="15" t="n">
        <f aca="false">Budget_Status!I9</f>
        <v>472000</v>
      </c>
    </row>
    <row r="31" customFormat="false" ht="15" hidden="false" customHeight="false" outlineLevel="0" collapsed="false">
      <c r="A31" s="10" t="str">
        <f aca="false">Budget_Status!A10</f>
        <v>CP-2405</v>
      </c>
      <c r="B31" s="10" t="str">
        <f aca="false">Budget_Status!B10</f>
        <v>East - Roof Replacement</v>
      </c>
      <c r="C31" s="10" t="str">
        <f aca="false">Budget_Status!D10</f>
        <v>J. Alvarez</v>
      </c>
      <c r="D31" s="10" t="str">
        <f aca="false">IF(Budget_Status!M10="","-",Budget_Status!M10)</f>
        <v>-</v>
      </c>
      <c r="E31" s="15" t="n">
        <f aca="false">Budget_Status!I10</f>
        <v>356000</v>
      </c>
    </row>
    <row r="32" customFormat="false" ht="15" hidden="false" customHeight="false" outlineLevel="0" collapsed="false">
      <c r="A32" s="10" t="str">
        <f aca="false">Budget_Status!A11</f>
        <v>CP-2406</v>
      </c>
      <c r="B32" s="10" t="str">
        <f aca="false">Budget_Status!B11</f>
        <v>West - Pharmacy Upgrade</v>
      </c>
      <c r="C32" s="10" t="str">
        <f aca="false">Budget_Status!D11</f>
        <v>J. Alvarez</v>
      </c>
      <c r="D32" s="10" t="str">
        <f aca="false">IF(Budget_Status!M11="","-",Budget_Status!M11)</f>
        <v>-</v>
      </c>
      <c r="E32" s="15" t="n">
        <f aca="false">Budget_Status!I11</f>
        <v>82000</v>
      </c>
    </row>
    <row r="33" customFormat="false" ht="15" hidden="false" customHeight="false" outlineLevel="0" collapsed="false">
      <c r="A33" s="10" t="str">
        <f aca="false">Budget_Status!A12</f>
        <v>CP-2407</v>
      </c>
      <c r="B33" s="10" t="str">
        <f aca="false">Budget_Status!B12</f>
        <v>Central - Generator Install</v>
      </c>
      <c r="C33" s="10" t="str">
        <f aca="false">Budget_Status!D12</f>
        <v>S. Patel</v>
      </c>
      <c r="D33" s="10" t="str">
        <f aca="false">IF(Budget_Status!M12="","-",Budget_Status!M12)</f>
        <v>Closeout overdue</v>
      </c>
      <c r="E33" s="15" t="n">
        <f aca="false">Budget_Status!I12</f>
        <v>23000</v>
      </c>
    </row>
    <row r="34" customFormat="false" ht="15" hidden="false" customHeight="false" outlineLevel="0" collapsed="false">
      <c r="A34" s="10" t="str">
        <f aca="false">Budget_Status!A13</f>
        <v>CP-2408</v>
      </c>
      <c r="B34" s="10" t="str">
        <f aca="false">Budget_Status!B13</f>
        <v>East - Lab Remodel</v>
      </c>
      <c r="C34" s="10" t="str">
        <f aca="false">Budget_Status!D13</f>
        <v>K. Brooks</v>
      </c>
      <c r="D34" s="10" t="str">
        <f aca="false">IF(Budget_Status!M13="","-",Budget_Status!M13)</f>
        <v>Over 95% committed</v>
      </c>
      <c r="E34" s="15" t="n">
        <f aca="false">Budget_Status!I13</f>
        <v>149000</v>
      </c>
    </row>
    <row r="35" customFormat="false" ht="15" hidden="false" customHeight="false" outlineLevel="0" collapsed="false">
      <c r="A35" s="10" t="str">
        <f aca="false">Budget_Status!A14</f>
        <v>CP-2409</v>
      </c>
      <c r="B35" s="10" t="str">
        <f aca="false">Budget_Status!B14</f>
        <v>West - Parking Structure</v>
      </c>
      <c r="C35" s="10" t="str">
        <f aca="false">Budget_Status!D14</f>
        <v>K. Brooks</v>
      </c>
      <c r="D35" s="10" t="str">
        <f aca="false">IF(Budget_Status!M14="","-",Budget_Status!M14)</f>
        <v>-</v>
      </c>
      <c r="E35" s="15" t="n">
        <f aca="false">Budget_Status!I14</f>
        <v>132000</v>
      </c>
    </row>
    <row r="36" customFormat="false" ht="15" hidden="false" customHeight="false" outlineLevel="0" collapsed="false">
      <c r="A36" s="10" t="str">
        <f aca="false">Budget_Status!A15</f>
        <v>CP-2410</v>
      </c>
      <c r="B36" s="10" t="str">
        <f aca="false">Budget_Status!B15</f>
        <v>Central - Patient Tower Refresh</v>
      </c>
      <c r="C36" s="10" t="str">
        <f aca="false">Budget_Status!D15</f>
        <v>M. Chen</v>
      </c>
      <c r="D36" s="10" t="str">
        <f aca="false">IF(Budget_Status!M15="","-",Budget_Status!M15)</f>
        <v>Closeout overdue</v>
      </c>
      <c r="E36" s="15" t="n">
        <f aca="false">Budget_Status!I15</f>
        <v>102000</v>
      </c>
    </row>
    <row r="37" customFormat="false" ht="15" hidden="false" customHeight="false" outlineLevel="0" collapsed="false">
      <c r="A37" s="10" t="str">
        <f aca="false">Budget_Status!A16</f>
        <v>CP-2411</v>
      </c>
      <c r="B37" s="10" t="str">
        <f aca="false">Budget_Status!B16</f>
        <v>East - Sterile Processing</v>
      </c>
      <c r="C37" s="10" t="str">
        <f aca="false">Budget_Status!D16</f>
        <v>S. Patel</v>
      </c>
      <c r="D37" s="10" t="str">
        <f aca="false">IF(Budget_Status!M16="","-",Budget_Status!M16)</f>
        <v>-</v>
      </c>
      <c r="E37" s="15" t="n">
        <f aca="false">Budget_Status!I16</f>
        <v>0</v>
      </c>
    </row>
    <row r="38" customFormat="false" ht="15" hidden="false" customHeight="false" outlineLevel="0" collapsed="false">
      <c r="A38" s="10" t="str">
        <f aca="false">Budget_Status!A17</f>
        <v>CP-2412</v>
      </c>
      <c r="B38" s="10" t="str">
        <f aca="false">Budget_Status!B17</f>
        <v>West - Clinic Build-Out</v>
      </c>
      <c r="C38" s="10" t="str">
        <f aca="false">Budget_Status!D17</f>
        <v>M. Chen</v>
      </c>
      <c r="D38" s="10" t="str">
        <f aca="false">IF(Budget_Status!M17="","-",Budget_Status!M17)</f>
        <v>-</v>
      </c>
      <c r="E38" s="15" t="n">
        <f aca="false">Budget_Status!I17</f>
        <v>189000</v>
      </c>
    </row>
    <row r="40" customFormat="false" ht="15" hidden="false" customHeight="false" outlineLevel="0" collapsed="false">
      <c r="A40" s="7" t="s">
        <v>54</v>
      </c>
    </row>
    <row r="41" customFormat="false" ht="15" hidden="false" customHeight="false" outlineLevel="0" collapsed="false">
      <c r="A41" s="16" t="s">
        <v>55</v>
      </c>
    </row>
    <row r="42" customFormat="false" ht="15" hidden="false" customHeight="false" outlineLevel="0" collapsed="false">
      <c r="A42" s="16" t="s">
        <v>56</v>
      </c>
    </row>
    <row r="43" customFormat="false" ht="15" hidden="false" customHeight="false" outlineLevel="0" collapsed="false">
      <c r="A43" s="16" t="s">
        <v>57</v>
      </c>
    </row>
  </sheetData>
  <conditionalFormatting sqref="A27:E38">
    <cfRule type="expression" priority="2" aboveAverage="0" equalAverage="0" bottom="0" percent="0" rank="0" text="" dxfId="0">
      <formula>$D27&lt;&gt;"-"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7"/>
    <col collapsed="false" customWidth="true" hidden="false" outlineLevel="0" max="4" min="3" style="0" width="11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50"/>
    <col collapsed="false" customWidth="true" hidden="false" outlineLevel="0" max="11" min="11" style="0" width="9"/>
    <col collapsed="false" customWidth="true" hidden="false" outlineLevel="0" max="12" min="12" style="0" width="11"/>
  </cols>
  <sheetData>
    <row r="1" customFormat="false" ht="17.35" hidden="false" customHeight="false" outlineLevel="0" collapsed="false">
      <c r="A1" s="1" t="s">
        <v>58</v>
      </c>
    </row>
    <row r="2" customFormat="false" ht="15" hidden="false" customHeight="false" outlineLevel="0" collapsed="false">
      <c r="A2" s="2" t="s">
        <v>59</v>
      </c>
    </row>
    <row r="4" customFormat="false" ht="30" hidden="false" customHeight="true" outlineLevel="0" collapsed="false">
      <c r="A4" s="9" t="s">
        <v>60</v>
      </c>
      <c r="B4" s="9" t="s">
        <v>61</v>
      </c>
      <c r="C4" s="9" t="s">
        <v>62</v>
      </c>
      <c r="D4" s="9" t="s">
        <v>49</v>
      </c>
      <c r="E4" s="9" t="s">
        <v>63</v>
      </c>
      <c r="F4" s="9" t="s">
        <v>64</v>
      </c>
      <c r="G4" s="9" t="s">
        <v>65</v>
      </c>
      <c r="H4" s="9" t="s">
        <v>66</v>
      </c>
      <c r="I4" s="9" t="s">
        <v>67</v>
      </c>
      <c r="J4" s="9" t="s">
        <v>68</v>
      </c>
      <c r="K4" s="9" t="s">
        <v>69</v>
      </c>
      <c r="L4" s="9" t="s">
        <v>70</v>
      </c>
    </row>
    <row r="5" customFormat="false" ht="15" hidden="false" customHeight="false" outlineLevel="0" collapsed="false">
      <c r="A5" s="10" t="s">
        <v>71</v>
      </c>
      <c r="B5" s="10" t="n">
        <v>1</v>
      </c>
      <c r="C5" s="17" t="n">
        <v>45902</v>
      </c>
      <c r="D5" s="10" t="s">
        <v>72</v>
      </c>
      <c r="E5" s="10" t="s">
        <v>73</v>
      </c>
      <c r="F5" s="11" t="n">
        <v>42700</v>
      </c>
      <c r="G5" s="10" t="s">
        <v>74</v>
      </c>
      <c r="H5" s="10" t="s">
        <v>75</v>
      </c>
      <c r="I5" s="10" t="s">
        <v>76</v>
      </c>
      <c r="J5" s="10" t="s">
        <v>77</v>
      </c>
      <c r="K5" s="10" t="n">
        <v>1</v>
      </c>
      <c r="L5" s="10" t="n">
        <v>6</v>
      </c>
    </row>
    <row r="6" customFormat="false" ht="15" hidden="false" customHeight="false" outlineLevel="0" collapsed="false">
      <c r="A6" s="10" t="s">
        <v>78</v>
      </c>
      <c r="B6" s="10" t="n">
        <v>1</v>
      </c>
      <c r="C6" s="17" t="n">
        <v>45902</v>
      </c>
      <c r="D6" s="10" t="s">
        <v>79</v>
      </c>
      <c r="E6" s="10" t="s">
        <v>80</v>
      </c>
      <c r="F6" s="11" t="n">
        <v>51100</v>
      </c>
      <c r="G6" s="10" t="s">
        <v>81</v>
      </c>
      <c r="H6" s="10" t="s">
        <v>75</v>
      </c>
      <c r="I6" s="10" t="s">
        <v>76</v>
      </c>
      <c r="J6" s="10" t="s">
        <v>82</v>
      </c>
      <c r="K6" s="10" t="n">
        <v>1</v>
      </c>
      <c r="L6" s="10" t="n">
        <v>11</v>
      </c>
    </row>
    <row r="7" customFormat="false" ht="15" hidden="false" customHeight="false" outlineLevel="0" collapsed="false">
      <c r="A7" s="10" t="s">
        <v>83</v>
      </c>
      <c r="B7" s="10" t="n">
        <v>1</v>
      </c>
      <c r="C7" s="17" t="n">
        <v>45903</v>
      </c>
      <c r="D7" s="10" t="s">
        <v>84</v>
      </c>
      <c r="E7" s="10" t="s">
        <v>80</v>
      </c>
      <c r="F7" s="11" t="n">
        <v>29100</v>
      </c>
      <c r="G7" s="10" t="s">
        <v>85</v>
      </c>
      <c r="H7" s="10" t="s">
        <v>75</v>
      </c>
      <c r="I7" s="10" t="s">
        <v>76</v>
      </c>
      <c r="J7" s="10" t="s">
        <v>77</v>
      </c>
      <c r="K7" s="10" t="n">
        <v>1</v>
      </c>
      <c r="L7" s="10" t="n">
        <v>14</v>
      </c>
    </row>
    <row r="8" customFormat="false" ht="15" hidden="false" customHeight="false" outlineLevel="0" collapsed="false">
      <c r="A8" s="10" t="s">
        <v>86</v>
      </c>
      <c r="B8" s="10" t="n">
        <v>1</v>
      </c>
      <c r="C8" s="17" t="n">
        <v>45904</v>
      </c>
      <c r="D8" s="10" t="s">
        <v>84</v>
      </c>
      <c r="E8" s="10" t="s">
        <v>73</v>
      </c>
      <c r="F8" s="11" t="n">
        <v>74300</v>
      </c>
      <c r="G8" s="10" t="s">
        <v>74</v>
      </c>
      <c r="H8" s="10" t="s">
        <v>75</v>
      </c>
      <c r="I8" s="10" t="s">
        <v>76</v>
      </c>
      <c r="J8" s="10" t="s">
        <v>82</v>
      </c>
      <c r="K8" s="10" t="n">
        <v>1</v>
      </c>
      <c r="L8" s="10" t="n">
        <v>14</v>
      </c>
    </row>
    <row r="9" customFormat="false" ht="15" hidden="false" customHeight="false" outlineLevel="0" collapsed="false">
      <c r="A9" s="10" t="s">
        <v>87</v>
      </c>
      <c r="B9" s="10" t="n">
        <v>1</v>
      </c>
      <c r="C9" s="17" t="n">
        <v>45904</v>
      </c>
      <c r="D9" s="10" t="s">
        <v>88</v>
      </c>
      <c r="E9" s="10" t="s">
        <v>89</v>
      </c>
      <c r="F9" s="11" t="n">
        <v>30900</v>
      </c>
      <c r="G9" s="10" t="s">
        <v>81</v>
      </c>
      <c r="H9" s="10" t="s">
        <v>75</v>
      </c>
      <c r="I9" s="10" t="s">
        <v>76</v>
      </c>
      <c r="J9" s="10" t="s">
        <v>90</v>
      </c>
      <c r="K9" s="10" t="n">
        <v>1</v>
      </c>
      <c r="L9" s="10" t="n">
        <v>7</v>
      </c>
    </row>
    <row r="10" customFormat="false" ht="15" hidden="false" customHeight="false" outlineLevel="0" collapsed="false">
      <c r="A10" s="10" t="s">
        <v>91</v>
      </c>
      <c r="B10" s="10" t="n">
        <v>1</v>
      </c>
      <c r="C10" s="17" t="n">
        <v>45901</v>
      </c>
      <c r="D10" s="10" t="s">
        <v>92</v>
      </c>
      <c r="E10" s="10" t="s">
        <v>80</v>
      </c>
      <c r="F10" s="11" t="n">
        <v>97100</v>
      </c>
      <c r="G10" s="10" t="s">
        <v>85</v>
      </c>
      <c r="H10" s="10" t="s">
        <v>75</v>
      </c>
      <c r="I10" s="10" t="s">
        <v>93</v>
      </c>
      <c r="J10" s="10"/>
      <c r="K10" s="10" t="n">
        <v>0</v>
      </c>
      <c r="L10" s="10" t="n">
        <v>2</v>
      </c>
    </row>
    <row r="11" customFormat="false" ht="15" hidden="false" customHeight="false" outlineLevel="0" collapsed="false">
      <c r="A11" s="10" t="s">
        <v>94</v>
      </c>
      <c r="B11" s="10" t="n">
        <v>1</v>
      </c>
      <c r="C11" s="17" t="n">
        <v>45901</v>
      </c>
      <c r="D11" s="10" t="s">
        <v>95</v>
      </c>
      <c r="E11" s="10" t="s">
        <v>89</v>
      </c>
      <c r="F11" s="11" t="n">
        <v>23600</v>
      </c>
      <c r="G11" s="10" t="s">
        <v>96</v>
      </c>
      <c r="H11" s="10" t="s">
        <v>75</v>
      </c>
      <c r="I11" s="10" t="s">
        <v>93</v>
      </c>
      <c r="J11" s="10"/>
      <c r="K11" s="10" t="n">
        <v>0</v>
      </c>
      <c r="L11" s="10" t="n">
        <v>5</v>
      </c>
    </row>
    <row r="12" customFormat="false" ht="15" hidden="false" customHeight="false" outlineLevel="0" collapsed="false">
      <c r="A12" s="10" t="s">
        <v>97</v>
      </c>
      <c r="B12" s="10" t="n">
        <v>1</v>
      </c>
      <c r="C12" s="17" t="n">
        <v>45905</v>
      </c>
      <c r="D12" s="10" t="s">
        <v>98</v>
      </c>
      <c r="E12" s="10" t="s">
        <v>89</v>
      </c>
      <c r="F12" s="11" t="n">
        <v>93400</v>
      </c>
      <c r="G12" s="10" t="s">
        <v>99</v>
      </c>
      <c r="H12" s="10" t="s">
        <v>75</v>
      </c>
      <c r="I12" s="10" t="s">
        <v>76</v>
      </c>
      <c r="J12" s="10" t="s">
        <v>90</v>
      </c>
      <c r="K12" s="10" t="n">
        <v>1</v>
      </c>
      <c r="L12" s="10" t="n">
        <v>14</v>
      </c>
    </row>
    <row r="13" customFormat="false" ht="15" hidden="false" customHeight="false" outlineLevel="0" collapsed="false">
      <c r="A13" s="10" t="s">
        <v>100</v>
      </c>
      <c r="B13" s="10" t="n">
        <v>2</v>
      </c>
      <c r="C13" s="17" t="n">
        <v>45912</v>
      </c>
      <c r="D13" s="10" t="s">
        <v>101</v>
      </c>
      <c r="E13" s="10" t="s">
        <v>89</v>
      </c>
      <c r="F13" s="11" t="n">
        <v>138200</v>
      </c>
      <c r="G13" s="10" t="s">
        <v>96</v>
      </c>
      <c r="H13" s="10" t="s">
        <v>75</v>
      </c>
      <c r="I13" s="10" t="s">
        <v>93</v>
      </c>
      <c r="J13" s="10"/>
      <c r="K13" s="10" t="n">
        <v>0</v>
      </c>
      <c r="L13" s="10" t="n">
        <v>2</v>
      </c>
    </row>
    <row r="14" customFormat="false" ht="15" hidden="false" customHeight="false" outlineLevel="0" collapsed="false">
      <c r="A14" s="10" t="s">
        <v>102</v>
      </c>
      <c r="B14" s="10" t="n">
        <v>2</v>
      </c>
      <c r="C14" s="17" t="n">
        <v>45909</v>
      </c>
      <c r="D14" s="10" t="s">
        <v>103</v>
      </c>
      <c r="E14" s="10" t="s">
        <v>89</v>
      </c>
      <c r="F14" s="11" t="n">
        <v>23700</v>
      </c>
      <c r="G14" s="10" t="s">
        <v>74</v>
      </c>
      <c r="H14" s="10" t="s">
        <v>75</v>
      </c>
      <c r="I14" s="10" t="s">
        <v>93</v>
      </c>
      <c r="J14" s="10"/>
      <c r="K14" s="10" t="n">
        <v>0</v>
      </c>
      <c r="L14" s="10" t="n">
        <v>4</v>
      </c>
    </row>
    <row r="15" customFormat="false" ht="15" hidden="false" customHeight="false" outlineLevel="0" collapsed="false">
      <c r="A15" s="10" t="s">
        <v>104</v>
      </c>
      <c r="B15" s="10" t="n">
        <v>2</v>
      </c>
      <c r="C15" s="17" t="n">
        <v>45912</v>
      </c>
      <c r="D15" s="10" t="s">
        <v>105</v>
      </c>
      <c r="E15" s="10" t="s">
        <v>73</v>
      </c>
      <c r="F15" s="11" t="n">
        <v>170700</v>
      </c>
      <c r="G15" s="10" t="s">
        <v>99</v>
      </c>
      <c r="H15" s="10" t="s">
        <v>75</v>
      </c>
      <c r="I15" s="10" t="s">
        <v>76</v>
      </c>
      <c r="J15" s="10" t="s">
        <v>106</v>
      </c>
      <c r="K15" s="10" t="n">
        <v>1</v>
      </c>
      <c r="L15" s="10" t="n">
        <v>7</v>
      </c>
    </row>
    <row r="16" customFormat="false" ht="15" hidden="false" customHeight="false" outlineLevel="0" collapsed="false">
      <c r="A16" s="10" t="s">
        <v>107</v>
      </c>
      <c r="B16" s="10" t="n">
        <v>2</v>
      </c>
      <c r="C16" s="17" t="n">
        <v>45909</v>
      </c>
      <c r="D16" s="10" t="s">
        <v>101</v>
      </c>
      <c r="E16" s="10" t="s">
        <v>80</v>
      </c>
      <c r="F16" s="11" t="n">
        <v>170600</v>
      </c>
      <c r="G16" s="10" t="s">
        <v>85</v>
      </c>
      <c r="H16" s="10" t="s">
        <v>75</v>
      </c>
      <c r="I16" s="10" t="s">
        <v>76</v>
      </c>
      <c r="J16" s="10" t="s">
        <v>106</v>
      </c>
      <c r="K16" s="10" t="n">
        <v>1</v>
      </c>
      <c r="L16" s="10" t="n">
        <v>12</v>
      </c>
    </row>
    <row r="17" customFormat="false" ht="15" hidden="false" customHeight="false" outlineLevel="0" collapsed="false">
      <c r="A17" s="10" t="s">
        <v>108</v>
      </c>
      <c r="B17" s="10" t="n">
        <v>2</v>
      </c>
      <c r="C17" s="17" t="n">
        <v>45911</v>
      </c>
      <c r="D17" s="10" t="s">
        <v>105</v>
      </c>
      <c r="E17" s="10" t="s">
        <v>89</v>
      </c>
      <c r="F17" s="11" t="n">
        <v>74200</v>
      </c>
      <c r="G17" s="10" t="s">
        <v>85</v>
      </c>
      <c r="H17" s="10" t="s">
        <v>75</v>
      </c>
      <c r="I17" s="10" t="s">
        <v>93</v>
      </c>
      <c r="J17" s="10"/>
      <c r="K17" s="10" t="n">
        <v>0</v>
      </c>
      <c r="L17" s="10" t="n">
        <v>4</v>
      </c>
    </row>
    <row r="18" customFormat="false" ht="15" hidden="false" customHeight="false" outlineLevel="0" collapsed="false">
      <c r="A18" s="10" t="s">
        <v>109</v>
      </c>
      <c r="B18" s="10" t="n">
        <v>2</v>
      </c>
      <c r="C18" s="17" t="n">
        <v>45909</v>
      </c>
      <c r="D18" s="10" t="s">
        <v>103</v>
      </c>
      <c r="E18" s="10" t="s">
        <v>89</v>
      </c>
      <c r="F18" s="11" t="n">
        <v>47600</v>
      </c>
      <c r="G18" s="10" t="s">
        <v>85</v>
      </c>
      <c r="H18" s="10" t="s">
        <v>75</v>
      </c>
      <c r="I18" s="10" t="s">
        <v>76</v>
      </c>
      <c r="J18" s="10" t="s">
        <v>110</v>
      </c>
      <c r="K18" s="10" t="n">
        <v>1</v>
      </c>
      <c r="L18" s="10" t="n">
        <v>14</v>
      </c>
    </row>
    <row r="19" customFormat="false" ht="15" hidden="false" customHeight="false" outlineLevel="0" collapsed="false">
      <c r="A19" s="10" t="s">
        <v>111</v>
      </c>
      <c r="B19" s="10" t="n">
        <v>2</v>
      </c>
      <c r="C19" s="17" t="n">
        <v>45908</v>
      </c>
      <c r="D19" s="10" t="s">
        <v>105</v>
      </c>
      <c r="E19" s="10" t="s">
        <v>89</v>
      </c>
      <c r="F19" s="11" t="n">
        <v>16500</v>
      </c>
      <c r="G19" s="10" t="s">
        <v>74</v>
      </c>
      <c r="H19" s="10" t="s">
        <v>75</v>
      </c>
      <c r="I19" s="10" t="s">
        <v>93</v>
      </c>
      <c r="J19" s="10"/>
      <c r="K19" s="10" t="n">
        <v>0</v>
      </c>
      <c r="L19" s="10" t="n">
        <v>3</v>
      </c>
    </row>
    <row r="20" customFormat="false" ht="15" hidden="false" customHeight="false" outlineLevel="0" collapsed="false">
      <c r="A20" s="10" t="s">
        <v>112</v>
      </c>
      <c r="B20" s="10" t="n">
        <v>2</v>
      </c>
      <c r="C20" s="17" t="n">
        <v>45909</v>
      </c>
      <c r="D20" s="10" t="s">
        <v>79</v>
      </c>
      <c r="E20" s="10" t="s">
        <v>89</v>
      </c>
      <c r="F20" s="11" t="n">
        <v>94500</v>
      </c>
      <c r="G20" s="10" t="s">
        <v>85</v>
      </c>
      <c r="H20" s="10" t="s">
        <v>75</v>
      </c>
      <c r="I20" s="10" t="s">
        <v>76</v>
      </c>
      <c r="J20" s="10" t="s">
        <v>106</v>
      </c>
      <c r="K20" s="10" t="n">
        <v>1</v>
      </c>
      <c r="L20" s="10" t="n">
        <v>14</v>
      </c>
    </row>
    <row r="21" customFormat="false" ht="15" hidden="false" customHeight="false" outlineLevel="0" collapsed="false">
      <c r="A21" s="10" t="s">
        <v>113</v>
      </c>
      <c r="B21" s="10" t="n">
        <v>3</v>
      </c>
      <c r="C21" s="17" t="n">
        <v>45916</v>
      </c>
      <c r="D21" s="10" t="s">
        <v>92</v>
      </c>
      <c r="E21" s="10" t="s">
        <v>80</v>
      </c>
      <c r="F21" s="11" t="n">
        <v>46800</v>
      </c>
      <c r="G21" s="10" t="s">
        <v>74</v>
      </c>
      <c r="H21" s="10" t="s">
        <v>75</v>
      </c>
      <c r="I21" s="10" t="s">
        <v>93</v>
      </c>
      <c r="J21" s="10"/>
      <c r="K21" s="10" t="n">
        <v>0</v>
      </c>
      <c r="L21" s="10" t="n">
        <v>5</v>
      </c>
    </row>
    <row r="22" customFormat="false" ht="15" hidden="false" customHeight="false" outlineLevel="0" collapsed="false">
      <c r="A22" s="10" t="s">
        <v>114</v>
      </c>
      <c r="B22" s="10" t="n">
        <v>3</v>
      </c>
      <c r="C22" s="17" t="n">
        <v>45915</v>
      </c>
      <c r="D22" s="10" t="s">
        <v>115</v>
      </c>
      <c r="E22" s="10" t="s">
        <v>80</v>
      </c>
      <c r="F22" s="11" t="n">
        <v>66400</v>
      </c>
      <c r="G22" s="10" t="s">
        <v>74</v>
      </c>
      <c r="H22" s="10" t="s">
        <v>75</v>
      </c>
      <c r="I22" s="10" t="s">
        <v>93</v>
      </c>
      <c r="J22" s="10"/>
      <c r="K22" s="10" t="n">
        <v>0</v>
      </c>
      <c r="L22" s="10" t="n">
        <v>2</v>
      </c>
    </row>
    <row r="23" customFormat="false" ht="15" hidden="false" customHeight="false" outlineLevel="0" collapsed="false">
      <c r="A23" s="10" t="s">
        <v>116</v>
      </c>
      <c r="B23" s="10" t="n">
        <v>3</v>
      </c>
      <c r="C23" s="17" t="n">
        <v>45918</v>
      </c>
      <c r="D23" s="10" t="s">
        <v>84</v>
      </c>
      <c r="E23" s="10" t="s">
        <v>89</v>
      </c>
      <c r="F23" s="11" t="n">
        <v>144900</v>
      </c>
      <c r="G23" s="10" t="s">
        <v>99</v>
      </c>
      <c r="H23" s="10" t="s">
        <v>75</v>
      </c>
      <c r="I23" s="10" t="s">
        <v>76</v>
      </c>
      <c r="J23" s="10" t="s">
        <v>110</v>
      </c>
      <c r="K23" s="10" t="n">
        <v>1</v>
      </c>
      <c r="L23" s="10" t="n">
        <v>14</v>
      </c>
    </row>
    <row r="24" customFormat="false" ht="15" hidden="false" customHeight="false" outlineLevel="0" collapsed="false">
      <c r="A24" s="10" t="s">
        <v>117</v>
      </c>
      <c r="B24" s="10" t="n">
        <v>3</v>
      </c>
      <c r="C24" s="17" t="n">
        <v>45919</v>
      </c>
      <c r="D24" s="10" t="s">
        <v>84</v>
      </c>
      <c r="E24" s="10" t="s">
        <v>89</v>
      </c>
      <c r="F24" s="11" t="n">
        <v>53000</v>
      </c>
      <c r="G24" s="10" t="s">
        <v>74</v>
      </c>
      <c r="H24" s="10" t="s">
        <v>75</v>
      </c>
      <c r="I24" s="10" t="s">
        <v>76</v>
      </c>
      <c r="J24" s="10" t="s">
        <v>118</v>
      </c>
      <c r="K24" s="10" t="n">
        <v>1</v>
      </c>
      <c r="L24" s="10" t="n">
        <v>13</v>
      </c>
    </row>
    <row r="25" customFormat="false" ht="15" hidden="false" customHeight="false" outlineLevel="0" collapsed="false">
      <c r="A25" s="10" t="s">
        <v>119</v>
      </c>
      <c r="B25" s="10" t="n">
        <v>3</v>
      </c>
      <c r="C25" s="17" t="n">
        <v>45916</v>
      </c>
      <c r="D25" s="10" t="s">
        <v>88</v>
      </c>
      <c r="E25" s="10" t="s">
        <v>73</v>
      </c>
      <c r="F25" s="11" t="n">
        <v>151100</v>
      </c>
      <c r="G25" s="10" t="s">
        <v>81</v>
      </c>
      <c r="H25" s="10" t="s">
        <v>75</v>
      </c>
      <c r="I25" s="10" t="s">
        <v>93</v>
      </c>
      <c r="J25" s="10"/>
      <c r="K25" s="10" t="n">
        <v>0</v>
      </c>
      <c r="L25" s="10" t="n">
        <v>3</v>
      </c>
    </row>
    <row r="26" customFormat="false" ht="15" hidden="false" customHeight="false" outlineLevel="0" collapsed="false">
      <c r="A26" s="10" t="s">
        <v>120</v>
      </c>
      <c r="B26" s="10" t="n">
        <v>3</v>
      </c>
      <c r="C26" s="17" t="n">
        <v>45916</v>
      </c>
      <c r="D26" s="10" t="s">
        <v>103</v>
      </c>
      <c r="E26" s="10" t="s">
        <v>80</v>
      </c>
      <c r="F26" s="11" t="n">
        <v>41600</v>
      </c>
      <c r="G26" s="10" t="s">
        <v>81</v>
      </c>
      <c r="H26" s="10" t="s">
        <v>75</v>
      </c>
      <c r="I26" s="10" t="s">
        <v>93</v>
      </c>
      <c r="J26" s="10"/>
      <c r="K26" s="10" t="n">
        <v>0</v>
      </c>
      <c r="L26" s="10" t="n">
        <v>2</v>
      </c>
    </row>
    <row r="27" customFormat="false" ht="15" hidden="false" customHeight="false" outlineLevel="0" collapsed="false">
      <c r="A27" s="10" t="s">
        <v>121</v>
      </c>
      <c r="B27" s="10" t="n">
        <v>3</v>
      </c>
      <c r="C27" s="17" t="n">
        <v>45917</v>
      </c>
      <c r="D27" s="10" t="s">
        <v>88</v>
      </c>
      <c r="E27" s="10" t="s">
        <v>80</v>
      </c>
      <c r="F27" s="11" t="n">
        <v>50700</v>
      </c>
      <c r="G27" s="10" t="s">
        <v>81</v>
      </c>
      <c r="H27" s="10" t="s">
        <v>75</v>
      </c>
      <c r="I27" s="10" t="s">
        <v>93</v>
      </c>
      <c r="J27" s="10"/>
      <c r="K27" s="10" t="n">
        <v>0</v>
      </c>
      <c r="L27" s="10" t="n">
        <v>5</v>
      </c>
    </row>
    <row r="28" customFormat="false" ht="15" hidden="false" customHeight="false" outlineLevel="0" collapsed="false">
      <c r="A28" s="10" t="s">
        <v>122</v>
      </c>
      <c r="B28" s="10" t="n">
        <v>3</v>
      </c>
      <c r="C28" s="17" t="n">
        <v>45915</v>
      </c>
      <c r="D28" s="10" t="s">
        <v>98</v>
      </c>
      <c r="E28" s="10" t="s">
        <v>80</v>
      </c>
      <c r="F28" s="11" t="n">
        <v>31200</v>
      </c>
      <c r="G28" s="10" t="s">
        <v>96</v>
      </c>
      <c r="H28" s="10" t="s">
        <v>75</v>
      </c>
      <c r="I28" s="10" t="s">
        <v>76</v>
      </c>
      <c r="J28" s="10" t="s">
        <v>82</v>
      </c>
      <c r="K28" s="10" t="n">
        <v>1</v>
      </c>
      <c r="L28" s="10" t="n">
        <v>14</v>
      </c>
    </row>
    <row r="29" customFormat="false" ht="15" hidden="false" customHeight="false" outlineLevel="0" collapsed="false">
      <c r="A29" s="10" t="s">
        <v>123</v>
      </c>
      <c r="B29" s="10" t="n">
        <v>4</v>
      </c>
      <c r="C29" s="17" t="n">
        <v>45922</v>
      </c>
      <c r="D29" s="10" t="s">
        <v>88</v>
      </c>
      <c r="E29" s="10" t="s">
        <v>89</v>
      </c>
      <c r="F29" s="11" t="n">
        <v>106800</v>
      </c>
      <c r="G29" s="10" t="s">
        <v>85</v>
      </c>
      <c r="H29" s="10" t="s">
        <v>75</v>
      </c>
      <c r="I29" s="10" t="s">
        <v>93</v>
      </c>
      <c r="J29" s="10"/>
      <c r="K29" s="10" t="n">
        <v>0</v>
      </c>
      <c r="L29" s="10" t="n">
        <v>3</v>
      </c>
    </row>
    <row r="30" customFormat="false" ht="15" hidden="false" customHeight="false" outlineLevel="0" collapsed="false">
      <c r="A30" s="10" t="s">
        <v>124</v>
      </c>
      <c r="B30" s="10" t="n">
        <v>4</v>
      </c>
      <c r="C30" s="17" t="n">
        <v>45922</v>
      </c>
      <c r="D30" s="10" t="s">
        <v>115</v>
      </c>
      <c r="E30" s="10" t="s">
        <v>89</v>
      </c>
      <c r="F30" s="11" t="n">
        <v>16100</v>
      </c>
      <c r="G30" s="10" t="s">
        <v>85</v>
      </c>
      <c r="H30" s="10" t="s">
        <v>75</v>
      </c>
      <c r="I30" s="10" t="s">
        <v>76</v>
      </c>
      <c r="J30" s="10" t="s">
        <v>118</v>
      </c>
      <c r="K30" s="10" t="n">
        <v>1</v>
      </c>
      <c r="L30" s="10" t="n">
        <v>12</v>
      </c>
    </row>
    <row r="31" customFormat="false" ht="15" hidden="false" customHeight="false" outlineLevel="0" collapsed="false">
      <c r="A31" s="10" t="s">
        <v>125</v>
      </c>
      <c r="B31" s="10" t="n">
        <v>4</v>
      </c>
      <c r="C31" s="17" t="n">
        <v>45926</v>
      </c>
      <c r="D31" s="10" t="s">
        <v>105</v>
      </c>
      <c r="E31" s="10" t="s">
        <v>73</v>
      </c>
      <c r="F31" s="11" t="n">
        <v>108600</v>
      </c>
      <c r="G31" s="10" t="s">
        <v>85</v>
      </c>
      <c r="H31" s="10" t="s">
        <v>75</v>
      </c>
      <c r="I31" s="10" t="s">
        <v>93</v>
      </c>
      <c r="J31" s="10"/>
      <c r="K31" s="10" t="n">
        <v>0</v>
      </c>
      <c r="L31" s="10" t="n">
        <v>5</v>
      </c>
    </row>
    <row r="32" customFormat="false" ht="15" hidden="false" customHeight="false" outlineLevel="0" collapsed="false">
      <c r="A32" s="10" t="s">
        <v>126</v>
      </c>
      <c r="B32" s="10" t="n">
        <v>4</v>
      </c>
      <c r="C32" s="17" t="n">
        <v>45924</v>
      </c>
      <c r="D32" s="10" t="s">
        <v>98</v>
      </c>
      <c r="E32" s="10" t="s">
        <v>89</v>
      </c>
      <c r="F32" s="11" t="n">
        <v>168500</v>
      </c>
      <c r="G32" s="10" t="s">
        <v>81</v>
      </c>
      <c r="H32" s="10" t="s">
        <v>75</v>
      </c>
      <c r="I32" s="10" t="s">
        <v>76</v>
      </c>
      <c r="J32" s="10" t="s">
        <v>90</v>
      </c>
      <c r="K32" s="10" t="n">
        <v>1</v>
      </c>
      <c r="L32" s="10" t="n">
        <v>9</v>
      </c>
    </row>
    <row r="33" customFormat="false" ht="15" hidden="false" customHeight="false" outlineLevel="0" collapsed="false">
      <c r="A33" s="10" t="s">
        <v>127</v>
      </c>
      <c r="B33" s="10" t="n">
        <v>4</v>
      </c>
      <c r="C33" s="17" t="n">
        <v>45922</v>
      </c>
      <c r="D33" s="10" t="s">
        <v>101</v>
      </c>
      <c r="E33" s="10" t="s">
        <v>89</v>
      </c>
      <c r="F33" s="11" t="n">
        <v>84500</v>
      </c>
      <c r="G33" s="10" t="s">
        <v>81</v>
      </c>
      <c r="H33" s="10" t="s">
        <v>75</v>
      </c>
      <c r="I33" s="10" t="s">
        <v>93</v>
      </c>
      <c r="J33" s="10"/>
      <c r="K33" s="10" t="n">
        <v>0</v>
      </c>
      <c r="L33" s="10" t="n">
        <v>2</v>
      </c>
    </row>
    <row r="34" customFormat="false" ht="15" hidden="false" customHeight="false" outlineLevel="0" collapsed="false">
      <c r="A34" s="10" t="s">
        <v>128</v>
      </c>
      <c r="B34" s="10" t="n">
        <v>4</v>
      </c>
      <c r="C34" s="17" t="n">
        <v>45923</v>
      </c>
      <c r="D34" s="10" t="s">
        <v>92</v>
      </c>
      <c r="E34" s="10" t="s">
        <v>73</v>
      </c>
      <c r="F34" s="11" t="n">
        <v>179300</v>
      </c>
      <c r="G34" s="10" t="s">
        <v>96</v>
      </c>
      <c r="H34" s="10" t="s">
        <v>75</v>
      </c>
      <c r="I34" s="10" t="s">
        <v>76</v>
      </c>
      <c r="J34" s="10" t="s">
        <v>110</v>
      </c>
      <c r="K34" s="10" t="n">
        <v>1</v>
      </c>
      <c r="L34" s="10" t="n">
        <v>10</v>
      </c>
    </row>
    <row r="35" customFormat="false" ht="15" hidden="false" customHeight="false" outlineLevel="0" collapsed="false">
      <c r="A35" s="10" t="s">
        <v>129</v>
      </c>
      <c r="B35" s="10" t="n">
        <v>4</v>
      </c>
      <c r="C35" s="17" t="n">
        <v>45926</v>
      </c>
      <c r="D35" s="10" t="s">
        <v>115</v>
      </c>
      <c r="E35" s="10" t="s">
        <v>89</v>
      </c>
      <c r="F35" s="11" t="n">
        <v>69000</v>
      </c>
      <c r="G35" s="10" t="s">
        <v>85</v>
      </c>
      <c r="H35" s="10" t="s">
        <v>75</v>
      </c>
      <c r="I35" s="10" t="s">
        <v>76</v>
      </c>
      <c r="J35" s="10" t="s">
        <v>77</v>
      </c>
      <c r="K35" s="10" t="n">
        <v>1</v>
      </c>
      <c r="L35" s="10" t="n">
        <v>10</v>
      </c>
    </row>
    <row r="36" customFormat="false" ht="15" hidden="false" customHeight="false" outlineLevel="0" collapsed="false">
      <c r="A36" s="10" t="s">
        <v>130</v>
      </c>
      <c r="B36" s="10" t="n">
        <v>4</v>
      </c>
      <c r="C36" s="17" t="n">
        <v>45924</v>
      </c>
      <c r="D36" s="10" t="s">
        <v>88</v>
      </c>
      <c r="E36" s="10" t="s">
        <v>73</v>
      </c>
      <c r="F36" s="11" t="n">
        <v>56700</v>
      </c>
      <c r="G36" s="10" t="s">
        <v>74</v>
      </c>
      <c r="H36" s="10" t="s">
        <v>75</v>
      </c>
      <c r="I36" s="10" t="s">
        <v>93</v>
      </c>
      <c r="J36" s="10"/>
      <c r="K36" s="10" t="n">
        <v>0</v>
      </c>
      <c r="L36" s="10" t="n">
        <v>3</v>
      </c>
    </row>
    <row r="37" customFormat="false" ht="15" hidden="false" customHeight="false" outlineLevel="0" collapsed="false">
      <c r="A37" s="10" t="s">
        <v>131</v>
      </c>
      <c r="B37" s="10" t="n">
        <v>5</v>
      </c>
      <c r="C37" s="17" t="n">
        <v>45930</v>
      </c>
      <c r="D37" s="10" t="s">
        <v>115</v>
      </c>
      <c r="E37" s="10" t="s">
        <v>73</v>
      </c>
      <c r="F37" s="11" t="n">
        <v>31400</v>
      </c>
      <c r="G37" s="10" t="s">
        <v>96</v>
      </c>
      <c r="H37" s="10" t="s">
        <v>75</v>
      </c>
      <c r="I37" s="10" t="s">
        <v>76</v>
      </c>
      <c r="J37" s="10" t="s">
        <v>110</v>
      </c>
      <c r="K37" s="10" t="n">
        <v>1</v>
      </c>
      <c r="L37" s="10" t="n">
        <v>11</v>
      </c>
    </row>
    <row r="38" customFormat="false" ht="15" hidden="false" customHeight="false" outlineLevel="0" collapsed="false">
      <c r="A38" s="10" t="s">
        <v>132</v>
      </c>
      <c r="B38" s="10" t="n">
        <v>5</v>
      </c>
      <c r="C38" s="17" t="n">
        <v>45929</v>
      </c>
      <c r="D38" s="10" t="s">
        <v>98</v>
      </c>
      <c r="E38" s="10" t="s">
        <v>80</v>
      </c>
      <c r="F38" s="11" t="n">
        <v>48200</v>
      </c>
      <c r="G38" s="10" t="s">
        <v>81</v>
      </c>
      <c r="H38" s="10" t="s">
        <v>75</v>
      </c>
      <c r="I38" s="10" t="s">
        <v>93</v>
      </c>
      <c r="J38" s="10"/>
      <c r="K38" s="10" t="n">
        <v>0</v>
      </c>
      <c r="L38" s="10" t="n">
        <v>2</v>
      </c>
    </row>
    <row r="39" customFormat="false" ht="15" hidden="false" customHeight="false" outlineLevel="0" collapsed="false">
      <c r="A39" s="10" t="s">
        <v>133</v>
      </c>
      <c r="B39" s="10" t="n">
        <v>5</v>
      </c>
      <c r="C39" s="17" t="n">
        <v>45930</v>
      </c>
      <c r="D39" s="10" t="s">
        <v>95</v>
      </c>
      <c r="E39" s="10" t="s">
        <v>89</v>
      </c>
      <c r="F39" s="11" t="n">
        <v>4600</v>
      </c>
      <c r="G39" s="10" t="s">
        <v>81</v>
      </c>
      <c r="H39" s="10" t="s">
        <v>75</v>
      </c>
      <c r="I39" s="10" t="s">
        <v>93</v>
      </c>
      <c r="J39" s="10"/>
      <c r="K39" s="10" t="n">
        <v>0</v>
      </c>
      <c r="L39" s="10" t="n">
        <v>4</v>
      </c>
    </row>
    <row r="40" customFormat="false" ht="15" hidden="false" customHeight="false" outlineLevel="0" collapsed="false">
      <c r="A40" s="10" t="s">
        <v>134</v>
      </c>
      <c r="B40" s="10" t="n">
        <v>5</v>
      </c>
      <c r="C40" s="17" t="n">
        <v>45933</v>
      </c>
      <c r="D40" s="10" t="s">
        <v>98</v>
      </c>
      <c r="E40" s="10" t="s">
        <v>80</v>
      </c>
      <c r="F40" s="11" t="n">
        <v>102700</v>
      </c>
      <c r="G40" s="10" t="s">
        <v>74</v>
      </c>
      <c r="H40" s="10" t="s">
        <v>75</v>
      </c>
      <c r="I40" s="10" t="s">
        <v>76</v>
      </c>
      <c r="J40" s="10" t="s">
        <v>82</v>
      </c>
      <c r="K40" s="10" t="n">
        <v>1</v>
      </c>
      <c r="L40" s="10" t="n">
        <v>8</v>
      </c>
    </row>
    <row r="41" customFormat="false" ht="15" hidden="false" customHeight="false" outlineLevel="0" collapsed="false">
      <c r="A41" s="10" t="s">
        <v>135</v>
      </c>
      <c r="B41" s="10" t="n">
        <v>5</v>
      </c>
      <c r="C41" s="17" t="n">
        <v>45931</v>
      </c>
      <c r="D41" s="10" t="s">
        <v>79</v>
      </c>
      <c r="E41" s="10" t="s">
        <v>73</v>
      </c>
      <c r="F41" s="11" t="n">
        <v>101200</v>
      </c>
      <c r="G41" s="10" t="s">
        <v>96</v>
      </c>
      <c r="H41" s="10" t="s">
        <v>75</v>
      </c>
      <c r="I41" s="10" t="s">
        <v>93</v>
      </c>
      <c r="J41" s="10"/>
      <c r="K41" s="10" t="n">
        <v>0</v>
      </c>
      <c r="L41" s="10" t="n">
        <v>2</v>
      </c>
    </row>
    <row r="42" customFormat="false" ht="15" hidden="false" customHeight="false" outlineLevel="0" collapsed="false">
      <c r="A42" s="10" t="s">
        <v>136</v>
      </c>
      <c r="B42" s="10" t="n">
        <v>5</v>
      </c>
      <c r="C42" s="17" t="n">
        <v>45932</v>
      </c>
      <c r="D42" s="10" t="s">
        <v>88</v>
      </c>
      <c r="E42" s="10" t="s">
        <v>89</v>
      </c>
      <c r="F42" s="11" t="n">
        <v>41000</v>
      </c>
      <c r="G42" s="10" t="s">
        <v>85</v>
      </c>
      <c r="H42" s="10" t="s">
        <v>75</v>
      </c>
      <c r="I42" s="10" t="s">
        <v>76</v>
      </c>
      <c r="J42" s="10" t="s">
        <v>110</v>
      </c>
      <c r="K42" s="10" t="n">
        <v>1</v>
      </c>
      <c r="L42" s="10" t="n">
        <v>14</v>
      </c>
    </row>
    <row r="43" customFormat="false" ht="15" hidden="false" customHeight="false" outlineLevel="0" collapsed="false">
      <c r="A43" s="10" t="s">
        <v>137</v>
      </c>
      <c r="B43" s="10" t="n">
        <v>5</v>
      </c>
      <c r="C43" s="17" t="n">
        <v>45932</v>
      </c>
      <c r="D43" s="10" t="s">
        <v>101</v>
      </c>
      <c r="E43" s="10" t="s">
        <v>89</v>
      </c>
      <c r="F43" s="11" t="n">
        <v>156200</v>
      </c>
      <c r="G43" s="10" t="s">
        <v>74</v>
      </c>
      <c r="H43" s="10" t="s">
        <v>75</v>
      </c>
      <c r="I43" s="10" t="s">
        <v>93</v>
      </c>
      <c r="J43" s="10"/>
      <c r="K43" s="10" t="n">
        <v>0</v>
      </c>
      <c r="L43" s="10" t="n">
        <v>3</v>
      </c>
    </row>
    <row r="44" customFormat="false" ht="15" hidden="false" customHeight="false" outlineLevel="0" collapsed="false">
      <c r="A44" s="10" t="s">
        <v>138</v>
      </c>
      <c r="B44" s="10" t="n">
        <v>5</v>
      </c>
      <c r="C44" s="17" t="n">
        <v>45931</v>
      </c>
      <c r="D44" s="10" t="s">
        <v>101</v>
      </c>
      <c r="E44" s="10" t="s">
        <v>89</v>
      </c>
      <c r="F44" s="11" t="n">
        <v>141700</v>
      </c>
      <c r="G44" s="10" t="s">
        <v>99</v>
      </c>
      <c r="H44" s="10" t="s">
        <v>75</v>
      </c>
      <c r="I44" s="10" t="s">
        <v>93</v>
      </c>
      <c r="J44" s="10"/>
      <c r="K44" s="10" t="n">
        <v>0</v>
      </c>
      <c r="L44" s="10" t="n">
        <v>3</v>
      </c>
    </row>
    <row r="45" customFormat="false" ht="15" hidden="false" customHeight="false" outlineLevel="0" collapsed="false">
      <c r="A45" s="10" t="s">
        <v>139</v>
      </c>
      <c r="B45" s="10" t="n">
        <v>6</v>
      </c>
      <c r="C45" s="17" t="n">
        <v>45937</v>
      </c>
      <c r="D45" s="10" t="s">
        <v>115</v>
      </c>
      <c r="E45" s="10" t="s">
        <v>80</v>
      </c>
      <c r="F45" s="11" t="n">
        <v>157500</v>
      </c>
      <c r="G45" s="10" t="s">
        <v>81</v>
      </c>
      <c r="H45" s="10" t="s">
        <v>75</v>
      </c>
      <c r="I45" s="10" t="s">
        <v>93</v>
      </c>
      <c r="J45" s="10"/>
      <c r="K45" s="10" t="n">
        <v>0</v>
      </c>
      <c r="L45" s="10" t="n">
        <v>3</v>
      </c>
    </row>
    <row r="46" customFormat="false" ht="15" hidden="false" customHeight="false" outlineLevel="0" collapsed="false">
      <c r="A46" s="10" t="s">
        <v>140</v>
      </c>
      <c r="B46" s="10" t="n">
        <v>6</v>
      </c>
      <c r="C46" s="17" t="n">
        <v>45936</v>
      </c>
      <c r="D46" s="10" t="s">
        <v>79</v>
      </c>
      <c r="E46" s="10" t="s">
        <v>89</v>
      </c>
      <c r="F46" s="11" t="n">
        <v>148400</v>
      </c>
      <c r="G46" s="10" t="s">
        <v>99</v>
      </c>
      <c r="H46" s="10" t="s">
        <v>75</v>
      </c>
      <c r="I46" s="10" t="s">
        <v>93</v>
      </c>
      <c r="J46" s="10"/>
      <c r="K46" s="10" t="n">
        <v>0</v>
      </c>
      <c r="L46" s="10" t="n">
        <v>3</v>
      </c>
    </row>
    <row r="47" customFormat="false" ht="15" hidden="false" customHeight="false" outlineLevel="0" collapsed="false">
      <c r="A47" s="10" t="s">
        <v>141</v>
      </c>
      <c r="B47" s="10" t="n">
        <v>6</v>
      </c>
      <c r="C47" s="17" t="n">
        <v>45940</v>
      </c>
      <c r="D47" s="10" t="s">
        <v>84</v>
      </c>
      <c r="E47" s="10" t="s">
        <v>89</v>
      </c>
      <c r="F47" s="11" t="n">
        <v>53000</v>
      </c>
      <c r="G47" s="10" t="s">
        <v>81</v>
      </c>
      <c r="H47" s="10" t="s">
        <v>75</v>
      </c>
      <c r="I47" s="10" t="s">
        <v>76</v>
      </c>
      <c r="J47" s="10" t="s">
        <v>77</v>
      </c>
      <c r="K47" s="10" t="n">
        <v>1</v>
      </c>
      <c r="L47" s="10" t="n">
        <v>11</v>
      </c>
    </row>
    <row r="48" customFormat="false" ht="15" hidden="false" customHeight="false" outlineLevel="0" collapsed="false">
      <c r="A48" s="10" t="s">
        <v>142</v>
      </c>
      <c r="B48" s="10" t="n">
        <v>6</v>
      </c>
      <c r="C48" s="17" t="n">
        <v>45937</v>
      </c>
      <c r="D48" s="10" t="s">
        <v>72</v>
      </c>
      <c r="E48" s="10" t="s">
        <v>73</v>
      </c>
      <c r="F48" s="11" t="n">
        <v>62300</v>
      </c>
      <c r="G48" s="10" t="s">
        <v>85</v>
      </c>
      <c r="H48" s="10" t="s">
        <v>75</v>
      </c>
      <c r="I48" s="10" t="s">
        <v>76</v>
      </c>
      <c r="J48" s="10" t="s">
        <v>118</v>
      </c>
      <c r="K48" s="10" t="n">
        <v>1</v>
      </c>
      <c r="L48" s="10" t="n">
        <v>10</v>
      </c>
    </row>
    <row r="49" customFormat="false" ht="15" hidden="false" customHeight="false" outlineLevel="0" collapsed="false">
      <c r="A49" s="10" t="s">
        <v>143</v>
      </c>
      <c r="B49" s="10" t="n">
        <v>6</v>
      </c>
      <c r="C49" s="17" t="n">
        <v>45939</v>
      </c>
      <c r="D49" s="10" t="s">
        <v>95</v>
      </c>
      <c r="E49" s="10" t="s">
        <v>89</v>
      </c>
      <c r="F49" s="11" t="n">
        <v>23100</v>
      </c>
      <c r="G49" s="10" t="s">
        <v>85</v>
      </c>
      <c r="H49" s="10" t="s">
        <v>75</v>
      </c>
      <c r="I49" s="10" t="s">
        <v>93</v>
      </c>
      <c r="J49" s="10"/>
      <c r="K49" s="10" t="n">
        <v>0</v>
      </c>
      <c r="L49" s="10" t="n">
        <v>4</v>
      </c>
    </row>
    <row r="50" customFormat="false" ht="15" hidden="false" customHeight="false" outlineLevel="0" collapsed="false">
      <c r="A50" s="10" t="s">
        <v>144</v>
      </c>
      <c r="B50" s="10" t="n">
        <v>6</v>
      </c>
      <c r="C50" s="17" t="n">
        <v>45936</v>
      </c>
      <c r="D50" s="10" t="s">
        <v>98</v>
      </c>
      <c r="E50" s="10" t="s">
        <v>89</v>
      </c>
      <c r="F50" s="11" t="n">
        <v>71800</v>
      </c>
      <c r="G50" s="10" t="s">
        <v>81</v>
      </c>
      <c r="H50" s="10" t="s">
        <v>75</v>
      </c>
      <c r="I50" s="10" t="s">
        <v>93</v>
      </c>
      <c r="J50" s="10"/>
      <c r="K50" s="10" t="n">
        <v>0</v>
      </c>
      <c r="L50" s="10" t="n">
        <v>4</v>
      </c>
    </row>
    <row r="51" customFormat="false" ht="15" hidden="false" customHeight="false" outlineLevel="0" collapsed="false">
      <c r="A51" s="10" t="s">
        <v>145</v>
      </c>
      <c r="B51" s="10" t="n">
        <v>6</v>
      </c>
      <c r="C51" s="17" t="n">
        <v>45938</v>
      </c>
      <c r="D51" s="10" t="s">
        <v>88</v>
      </c>
      <c r="E51" s="10" t="s">
        <v>73</v>
      </c>
      <c r="F51" s="11" t="n">
        <v>166900</v>
      </c>
      <c r="G51" s="10" t="s">
        <v>81</v>
      </c>
      <c r="H51" s="10" t="s">
        <v>75</v>
      </c>
      <c r="I51" s="10" t="s">
        <v>93</v>
      </c>
      <c r="J51" s="10"/>
      <c r="K51" s="10" t="n">
        <v>0</v>
      </c>
      <c r="L51" s="10" t="n">
        <v>3</v>
      </c>
    </row>
    <row r="52" customFormat="false" ht="15" hidden="false" customHeight="false" outlineLevel="0" collapsed="false">
      <c r="A52" s="10" t="s">
        <v>146</v>
      </c>
      <c r="B52" s="10" t="n">
        <v>6</v>
      </c>
      <c r="C52" s="17" t="n">
        <v>45938</v>
      </c>
      <c r="D52" s="10" t="s">
        <v>115</v>
      </c>
      <c r="E52" s="10" t="s">
        <v>89</v>
      </c>
      <c r="F52" s="11" t="n">
        <v>113700</v>
      </c>
      <c r="G52" s="10" t="s">
        <v>85</v>
      </c>
      <c r="H52" s="10" t="s">
        <v>75</v>
      </c>
      <c r="I52" s="10" t="s">
        <v>93</v>
      </c>
      <c r="J52" s="10"/>
      <c r="K52" s="10" t="n">
        <v>0</v>
      </c>
      <c r="L52" s="10" t="n">
        <v>2</v>
      </c>
    </row>
    <row r="53" customFormat="false" ht="15" hidden="false" customHeight="false" outlineLevel="0" collapsed="false">
      <c r="A53" s="10" t="s">
        <v>147</v>
      </c>
      <c r="B53" s="10" t="n">
        <v>7</v>
      </c>
      <c r="C53" s="17" t="n">
        <v>45944</v>
      </c>
      <c r="D53" s="10" t="s">
        <v>95</v>
      </c>
      <c r="E53" s="10" t="s">
        <v>80</v>
      </c>
      <c r="F53" s="11" t="n">
        <v>61400</v>
      </c>
      <c r="G53" s="10" t="s">
        <v>81</v>
      </c>
      <c r="H53" s="10" t="s">
        <v>148</v>
      </c>
      <c r="I53" s="10" t="s">
        <v>93</v>
      </c>
      <c r="J53" s="10"/>
      <c r="K53" s="10" t="n">
        <v>0</v>
      </c>
      <c r="L53" s="10" t="n">
        <v>3</v>
      </c>
    </row>
    <row r="54" customFormat="false" ht="15" hidden="false" customHeight="false" outlineLevel="0" collapsed="false">
      <c r="A54" s="10" t="s">
        <v>149</v>
      </c>
      <c r="B54" s="10" t="n">
        <v>7</v>
      </c>
      <c r="C54" s="17" t="n">
        <v>45946</v>
      </c>
      <c r="D54" s="10" t="s">
        <v>72</v>
      </c>
      <c r="E54" s="10" t="s">
        <v>80</v>
      </c>
      <c r="F54" s="11" t="n">
        <v>123200</v>
      </c>
      <c r="G54" s="10" t="s">
        <v>85</v>
      </c>
      <c r="H54" s="10" t="s">
        <v>148</v>
      </c>
      <c r="I54" s="10" t="s">
        <v>93</v>
      </c>
      <c r="J54" s="10"/>
      <c r="K54" s="10" t="n">
        <v>0</v>
      </c>
      <c r="L54" s="10" t="n">
        <v>4</v>
      </c>
    </row>
    <row r="55" customFormat="false" ht="15" hidden="false" customHeight="false" outlineLevel="0" collapsed="false">
      <c r="A55" s="10" t="s">
        <v>150</v>
      </c>
      <c r="B55" s="10" t="n">
        <v>7</v>
      </c>
      <c r="C55" s="17" t="n">
        <v>45946</v>
      </c>
      <c r="D55" s="10" t="s">
        <v>88</v>
      </c>
      <c r="E55" s="10" t="s">
        <v>89</v>
      </c>
      <c r="F55" s="11" t="n">
        <v>54500</v>
      </c>
      <c r="G55" s="10" t="s">
        <v>81</v>
      </c>
      <c r="H55" s="10" t="s">
        <v>148</v>
      </c>
      <c r="I55" s="10" t="s">
        <v>93</v>
      </c>
      <c r="J55" s="10"/>
      <c r="K55" s="10" t="n">
        <v>0</v>
      </c>
      <c r="L55" s="10" t="n">
        <v>4</v>
      </c>
    </row>
    <row r="56" customFormat="false" ht="15" hidden="false" customHeight="false" outlineLevel="0" collapsed="false">
      <c r="A56" s="10" t="s">
        <v>151</v>
      </c>
      <c r="B56" s="10" t="n">
        <v>7</v>
      </c>
      <c r="C56" s="17" t="n">
        <v>45943</v>
      </c>
      <c r="D56" s="10" t="s">
        <v>103</v>
      </c>
      <c r="E56" s="10" t="s">
        <v>89</v>
      </c>
      <c r="F56" s="11" t="n">
        <v>94000</v>
      </c>
      <c r="G56" s="10" t="s">
        <v>96</v>
      </c>
      <c r="H56" s="10" t="s">
        <v>148</v>
      </c>
      <c r="I56" s="10" t="s">
        <v>93</v>
      </c>
      <c r="J56" s="10"/>
      <c r="K56" s="10" t="n">
        <v>0</v>
      </c>
      <c r="L56" s="10" t="n">
        <v>3</v>
      </c>
    </row>
    <row r="57" customFormat="false" ht="15" hidden="false" customHeight="false" outlineLevel="0" collapsed="false">
      <c r="A57" s="10" t="s">
        <v>152</v>
      </c>
      <c r="B57" s="10" t="n">
        <v>7</v>
      </c>
      <c r="C57" s="17" t="n">
        <v>45945</v>
      </c>
      <c r="D57" s="10" t="s">
        <v>98</v>
      </c>
      <c r="E57" s="10" t="s">
        <v>73</v>
      </c>
      <c r="F57" s="11" t="n">
        <v>63000</v>
      </c>
      <c r="G57" s="10" t="s">
        <v>99</v>
      </c>
      <c r="H57" s="10" t="s">
        <v>148</v>
      </c>
      <c r="I57" s="10" t="s">
        <v>93</v>
      </c>
      <c r="J57" s="10"/>
      <c r="K57" s="10" t="n">
        <v>0</v>
      </c>
      <c r="L57" s="10" t="n">
        <v>3</v>
      </c>
    </row>
    <row r="58" customFormat="false" ht="15" hidden="false" customHeight="false" outlineLevel="0" collapsed="false">
      <c r="A58" s="10" t="s">
        <v>153</v>
      </c>
      <c r="B58" s="10" t="n">
        <v>7</v>
      </c>
      <c r="C58" s="17" t="n">
        <v>45947</v>
      </c>
      <c r="D58" s="10" t="s">
        <v>105</v>
      </c>
      <c r="E58" s="10" t="s">
        <v>89</v>
      </c>
      <c r="F58" s="11" t="n">
        <v>8300</v>
      </c>
      <c r="G58" s="10" t="s">
        <v>74</v>
      </c>
      <c r="H58" s="10" t="s">
        <v>148</v>
      </c>
      <c r="I58" s="10" t="s">
        <v>93</v>
      </c>
      <c r="J58" s="10"/>
      <c r="K58" s="10" t="n">
        <v>0</v>
      </c>
      <c r="L58" s="10" t="n">
        <v>5</v>
      </c>
    </row>
    <row r="59" customFormat="false" ht="15" hidden="false" customHeight="false" outlineLevel="0" collapsed="false">
      <c r="A59" s="10" t="s">
        <v>154</v>
      </c>
      <c r="B59" s="10" t="n">
        <v>7</v>
      </c>
      <c r="C59" s="17" t="n">
        <v>45946</v>
      </c>
      <c r="D59" s="10" t="s">
        <v>103</v>
      </c>
      <c r="E59" s="10" t="s">
        <v>80</v>
      </c>
      <c r="F59" s="11" t="n">
        <v>160000</v>
      </c>
      <c r="G59" s="10" t="s">
        <v>81</v>
      </c>
      <c r="H59" s="10" t="s">
        <v>148</v>
      </c>
      <c r="I59" s="10" t="s">
        <v>93</v>
      </c>
      <c r="J59" s="10"/>
      <c r="K59" s="10" t="n">
        <v>0</v>
      </c>
      <c r="L59" s="10" t="n">
        <v>5</v>
      </c>
    </row>
    <row r="60" customFormat="false" ht="15" hidden="false" customHeight="false" outlineLevel="0" collapsed="false">
      <c r="A60" s="10" t="s">
        <v>155</v>
      </c>
      <c r="B60" s="10" t="n">
        <v>7</v>
      </c>
      <c r="C60" s="17" t="n">
        <v>45946</v>
      </c>
      <c r="D60" s="10" t="s">
        <v>105</v>
      </c>
      <c r="E60" s="10" t="s">
        <v>89</v>
      </c>
      <c r="F60" s="11" t="n">
        <v>119500</v>
      </c>
      <c r="G60" s="10" t="s">
        <v>99</v>
      </c>
      <c r="H60" s="10" t="s">
        <v>148</v>
      </c>
      <c r="I60" s="10" t="s">
        <v>76</v>
      </c>
      <c r="J60" s="10" t="s">
        <v>118</v>
      </c>
      <c r="K60" s="10" t="n">
        <v>1</v>
      </c>
      <c r="L60" s="10" t="n">
        <v>7</v>
      </c>
    </row>
    <row r="61" customFormat="false" ht="15" hidden="false" customHeight="false" outlineLevel="0" collapsed="false">
      <c r="A61" s="10" t="s">
        <v>156</v>
      </c>
      <c r="B61" s="10" t="n">
        <v>8</v>
      </c>
      <c r="C61" s="17" t="n">
        <v>45953</v>
      </c>
      <c r="D61" s="10" t="s">
        <v>101</v>
      </c>
      <c r="E61" s="10" t="s">
        <v>73</v>
      </c>
      <c r="F61" s="11" t="n">
        <v>85800</v>
      </c>
      <c r="G61" s="10" t="s">
        <v>99</v>
      </c>
      <c r="H61" s="10" t="s">
        <v>148</v>
      </c>
      <c r="I61" s="10" t="s">
        <v>93</v>
      </c>
      <c r="J61" s="10"/>
      <c r="K61" s="10" t="n">
        <v>0</v>
      </c>
      <c r="L61" s="10" t="n">
        <v>2</v>
      </c>
    </row>
    <row r="62" customFormat="false" ht="15" hidden="false" customHeight="false" outlineLevel="0" collapsed="false">
      <c r="A62" s="10" t="s">
        <v>157</v>
      </c>
      <c r="B62" s="10" t="n">
        <v>8</v>
      </c>
      <c r="C62" s="17" t="n">
        <v>45954</v>
      </c>
      <c r="D62" s="10" t="s">
        <v>103</v>
      </c>
      <c r="E62" s="10" t="s">
        <v>73</v>
      </c>
      <c r="F62" s="11" t="n">
        <v>177900</v>
      </c>
      <c r="G62" s="10" t="s">
        <v>85</v>
      </c>
      <c r="H62" s="10" t="s">
        <v>148</v>
      </c>
      <c r="I62" s="10" t="s">
        <v>93</v>
      </c>
      <c r="J62" s="10"/>
      <c r="K62" s="10" t="n">
        <v>0</v>
      </c>
      <c r="L62" s="10" t="n">
        <v>5</v>
      </c>
    </row>
    <row r="63" customFormat="false" ht="15" hidden="false" customHeight="false" outlineLevel="0" collapsed="false">
      <c r="A63" s="10" t="s">
        <v>158</v>
      </c>
      <c r="B63" s="10" t="n">
        <v>8</v>
      </c>
      <c r="C63" s="17" t="n">
        <v>45953</v>
      </c>
      <c r="D63" s="10" t="s">
        <v>84</v>
      </c>
      <c r="E63" s="10" t="s">
        <v>73</v>
      </c>
      <c r="F63" s="11" t="n">
        <v>82500</v>
      </c>
      <c r="G63" s="10" t="s">
        <v>96</v>
      </c>
      <c r="H63" s="10" t="s">
        <v>148</v>
      </c>
      <c r="I63" s="10" t="s">
        <v>93</v>
      </c>
      <c r="J63" s="10"/>
      <c r="K63" s="10" t="n">
        <v>0</v>
      </c>
      <c r="L63" s="10" t="n">
        <v>5</v>
      </c>
    </row>
    <row r="64" customFormat="false" ht="15" hidden="false" customHeight="false" outlineLevel="0" collapsed="false">
      <c r="A64" s="10" t="s">
        <v>159</v>
      </c>
      <c r="B64" s="10" t="n">
        <v>8</v>
      </c>
      <c r="C64" s="17" t="n">
        <v>45952</v>
      </c>
      <c r="D64" s="10" t="s">
        <v>105</v>
      </c>
      <c r="E64" s="10" t="s">
        <v>89</v>
      </c>
      <c r="F64" s="11" t="n">
        <v>138800</v>
      </c>
      <c r="G64" s="10" t="s">
        <v>81</v>
      </c>
      <c r="H64" s="10" t="s">
        <v>148</v>
      </c>
      <c r="I64" s="10" t="s">
        <v>93</v>
      </c>
      <c r="J64" s="10"/>
      <c r="K64" s="10" t="n">
        <v>0</v>
      </c>
      <c r="L64" s="10" t="n">
        <v>3</v>
      </c>
    </row>
    <row r="65" customFormat="false" ht="15" hidden="false" customHeight="false" outlineLevel="0" collapsed="false">
      <c r="A65" s="10" t="s">
        <v>160</v>
      </c>
      <c r="B65" s="10" t="n">
        <v>8</v>
      </c>
      <c r="C65" s="17" t="n">
        <v>45951</v>
      </c>
      <c r="D65" s="10" t="s">
        <v>115</v>
      </c>
      <c r="E65" s="10" t="s">
        <v>89</v>
      </c>
      <c r="F65" s="11" t="n">
        <v>45300</v>
      </c>
      <c r="G65" s="10" t="s">
        <v>99</v>
      </c>
      <c r="H65" s="10" t="s">
        <v>148</v>
      </c>
      <c r="I65" s="10" t="s">
        <v>93</v>
      </c>
      <c r="J65" s="10"/>
      <c r="K65" s="10" t="n">
        <v>0</v>
      </c>
      <c r="L65" s="10" t="n">
        <v>2</v>
      </c>
    </row>
    <row r="66" customFormat="false" ht="15" hidden="false" customHeight="false" outlineLevel="0" collapsed="false">
      <c r="A66" s="10" t="s">
        <v>161</v>
      </c>
      <c r="B66" s="10" t="n">
        <v>8</v>
      </c>
      <c r="C66" s="17" t="n">
        <v>45953</v>
      </c>
      <c r="D66" s="10" t="s">
        <v>105</v>
      </c>
      <c r="E66" s="10" t="s">
        <v>80</v>
      </c>
      <c r="F66" s="11" t="n">
        <v>126100</v>
      </c>
      <c r="G66" s="10" t="s">
        <v>81</v>
      </c>
      <c r="H66" s="10" t="s">
        <v>148</v>
      </c>
      <c r="I66" s="10" t="s">
        <v>93</v>
      </c>
      <c r="J66" s="10"/>
      <c r="K66" s="10" t="n">
        <v>0</v>
      </c>
      <c r="L66" s="10" t="n">
        <v>2</v>
      </c>
    </row>
    <row r="67" customFormat="false" ht="15" hidden="false" customHeight="false" outlineLevel="0" collapsed="false">
      <c r="A67" s="10" t="s">
        <v>162</v>
      </c>
      <c r="B67" s="10" t="n">
        <v>8</v>
      </c>
      <c r="C67" s="17" t="n">
        <v>45954</v>
      </c>
      <c r="D67" s="10" t="s">
        <v>79</v>
      </c>
      <c r="E67" s="10" t="s">
        <v>73</v>
      </c>
      <c r="F67" s="11" t="n">
        <v>86000</v>
      </c>
      <c r="G67" s="10" t="s">
        <v>74</v>
      </c>
      <c r="H67" s="10" t="s">
        <v>148</v>
      </c>
      <c r="I67" s="10" t="s">
        <v>76</v>
      </c>
      <c r="J67" s="10" t="s">
        <v>118</v>
      </c>
      <c r="K67" s="10" t="n">
        <v>1</v>
      </c>
      <c r="L67" s="10" t="n">
        <v>12</v>
      </c>
    </row>
    <row r="68" customFormat="false" ht="15" hidden="false" customHeight="false" outlineLevel="0" collapsed="false">
      <c r="A68" s="10" t="s">
        <v>163</v>
      </c>
      <c r="B68" s="10" t="n">
        <v>8</v>
      </c>
      <c r="C68" s="17" t="n">
        <v>45953</v>
      </c>
      <c r="D68" s="10" t="s">
        <v>92</v>
      </c>
      <c r="E68" s="10" t="s">
        <v>80</v>
      </c>
      <c r="F68" s="11" t="n">
        <v>87900</v>
      </c>
      <c r="G68" s="10" t="s">
        <v>81</v>
      </c>
      <c r="H68" s="10" t="s">
        <v>148</v>
      </c>
      <c r="I68" s="10" t="s">
        <v>93</v>
      </c>
      <c r="J68" s="10"/>
      <c r="K68" s="10" t="n">
        <v>0</v>
      </c>
      <c r="L68" s="10" t="n">
        <v>4</v>
      </c>
    </row>
    <row r="69" customFormat="false" ht="15" hidden="false" customHeight="false" outlineLevel="0" collapsed="false">
      <c r="A69" s="10" t="s">
        <v>164</v>
      </c>
      <c r="B69" s="10" t="n">
        <v>9</v>
      </c>
      <c r="C69" s="17" t="n">
        <v>45958</v>
      </c>
      <c r="D69" s="10" t="s">
        <v>98</v>
      </c>
      <c r="E69" s="10" t="s">
        <v>73</v>
      </c>
      <c r="F69" s="11" t="n">
        <v>144800</v>
      </c>
      <c r="G69" s="10" t="s">
        <v>96</v>
      </c>
      <c r="H69" s="10" t="s">
        <v>148</v>
      </c>
      <c r="I69" s="10" t="s">
        <v>93</v>
      </c>
      <c r="J69" s="10"/>
      <c r="K69" s="10" t="n">
        <v>0</v>
      </c>
      <c r="L69" s="10" t="n">
        <v>5</v>
      </c>
    </row>
    <row r="70" customFormat="false" ht="15" hidden="false" customHeight="false" outlineLevel="0" collapsed="false">
      <c r="A70" s="10" t="s">
        <v>165</v>
      </c>
      <c r="B70" s="10" t="n">
        <v>9</v>
      </c>
      <c r="C70" s="17" t="n">
        <v>45958</v>
      </c>
      <c r="D70" s="10" t="s">
        <v>84</v>
      </c>
      <c r="E70" s="10" t="s">
        <v>80</v>
      </c>
      <c r="F70" s="11" t="n">
        <v>9100</v>
      </c>
      <c r="G70" s="10" t="s">
        <v>81</v>
      </c>
      <c r="H70" s="10" t="s">
        <v>148</v>
      </c>
      <c r="I70" s="10" t="s">
        <v>93</v>
      </c>
      <c r="J70" s="10"/>
      <c r="K70" s="10" t="n">
        <v>0</v>
      </c>
      <c r="L70" s="10" t="n">
        <v>5</v>
      </c>
    </row>
    <row r="71" customFormat="false" ht="15" hidden="false" customHeight="false" outlineLevel="0" collapsed="false">
      <c r="A71" s="10" t="s">
        <v>166</v>
      </c>
      <c r="B71" s="10" t="n">
        <v>9</v>
      </c>
      <c r="C71" s="17" t="n">
        <v>45957</v>
      </c>
      <c r="D71" s="10" t="s">
        <v>101</v>
      </c>
      <c r="E71" s="10" t="s">
        <v>73</v>
      </c>
      <c r="F71" s="11" t="n">
        <v>98000</v>
      </c>
      <c r="G71" s="10" t="s">
        <v>81</v>
      </c>
      <c r="H71" s="10" t="s">
        <v>148</v>
      </c>
      <c r="I71" s="10" t="s">
        <v>93</v>
      </c>
      <c r="J71" s="10"/>
      <c r="K71" s="10" t="n">
        <v>0</v>
      </c>
      <c r="L71" s="10" t="n">
        <v>2</v>
      </c>
    </row>
    <row r="72" customFormat="false" ht="15" hidden="false" customHeight="false" outlineLevel="0" collapsed="false">
      <c r="A72" s="10" t="s">
        <v>167</v>
      </c>
      <c r="B72" s="10" t="n">
        <v>9</v>
      </c>
      <c r="C72" s="17" t="n">
        <v>45958</v>
      </c>
      <c r="D72" s="10" t="s">
        <v>101</v>
      </c>
      <c r="E72" s="10" t="s">
        <v>80</v>
      </c>
      <c r="F72" s="11" t="n">
        <v>36000</v>
      </c>
      <c r="G72" s="10" t="s">
        <v>81</v>
      </c>
      <c r="H72" s="10" t="s">
        <v>148</v>
      </c>
      <c r="I72" s="10" t="s">
        <v>93</v>
      </c>
      <c r="J72" s="10"/>
      <c r="K72" s="10" t="n">
        <v>0</v>
      </c>
      <c r="L72" s="10" t="n">
        <v>4</v>
      </c>
    </row>
    <row r="73" customFormat="false" ht="15" hidden="false" customHeight="false" outlineLevel="0" collapsed="false">
      <c r="A73" s="10" t="s">
        <v>168</v>
      </c>
      <c r="B73" s="10" t="n">
        <v>9</v>
      </c>
      <c r="C73" s="17" t="n">
        <v>45959</v>
      </c>
      <c r="D73" s="10" t="s">
        <v>79</v>
      </c>
      <c r="E73" s="10" t="s">
        <v>89</v>
      </c>
      <c r="F73" s="11" t="n">
        <v>138000</v>
      </c>
      <c r="G73" s="10" t="s">
        <v>74</v>
      </c>
      <c r="H73" s="10" t="s">
        <v>148</v>
      </c>
      <c r="I73" s="10" t="s">
        <v>93</v>
      </c>
      <c r="J73" s="10"/>
      <c r="K73" s="10" t="n">
        <v>0</v>
      </c>
      <c r="L73" s="10" t="n">
        <v>5</v>
      </c>
    </row>
    <row r="74" customFormat="false" ht="15" hidden="false" customHeight="false" outlineLevel="0" collapsed="false">
      <c r="A74" s="10" t="s">
        <v>169</v>
      </c>
      <c r="B74" s="10" t="n">
        <v>9</v>
      </c>
      <c r="C74" s="17" t="n">
        <v>45957</v>
      </c>
      <c r="D74" s="10" t="s">
        <v>103</v>
      </c>
      <c r="E74" s="10" t="s">
        <v>89</v>
      </c>
      <c r="F74" s="11" t="n">
        <v>135800</v>
      </c>
      <c r="G74" s="10" t="s">
        <v>74</v>
      </c>
      <c r="H74" s="10" t="s">
        <v>148</v>
      </c>
      <c r="I74" s="10" t="s">
        <v>76</v>
      </c>
      <c r="J74" s="10" t="s">
        <v>82</v>
      </c>
      <c r="K74" s="10" t="n">
        <v>1</v>
      </c>
      <c r="L74" s="10" t="n">
        <v>9</v>
      </c>
    </row>
    <row r="75" customFormat="false" ht="15" hidden="false" customHeight="false" outlineLevel="0" collapsed="false">
      <c r="A75" s="10" t="s">
        <v>170</v>
      </c>
      <c r="B75" s="10" t="n">
        <v>9</v>
      </c>
      <c r="C75" s="17" t="n">
        <v>45960</v>
      </c>
      <c r="D75" s="10" t="s">
        <v>88</v>
      </c>
      <c r="E75" s="10" t="s">
        <v>89</v>
      </c>
      <c r="F75" s="11" t="n">
        <v>39100</v>
      </c>
      <c r="G75" s="10" t="s">
        <v>74</v>
      </c>
      <c r="H75" s="10" t="s">
        <v>148</v>
      </c>
      <c r="I75" s="10" t="s">
        <v>76</v>
      </c>
      <c r="J75" s="10" t="s">
        <v>106</v>
      </c>
      <c r="K75" s="10" t="n">
        <v>1</v>
      </c>
      <c r="L75" s="10" t="n">
        <v>8</v>
      </c>
    </row>
    <row r="76" customFormat="false" ht="15" hidden="false" customHeight="false" outlineLevel="0" collapsed="false">
      <c r="A76" s="10" t="s">
        <v>171</v>
      </c>
      <c r="B76" s="10" t="n">
        <v>9</v>
      </c>
      <c r="C76" s="17" t="n">
        <v>45958</v>
      </c>
      <c r="D76" s="10" t="s">
        <v>92</v>
      </c>
      <c r="E76" s="10" t="s">
        <v>89</v>
      </c>
      <c r="F76" s="11" t="n">
        <v>85800</v>
      </c>
      <c r="G76" s="10" t="s">
        <v>85</v>
      </c>
      <c r="H76" s="10" t="s">
        <v>148</v>
      </c>
      <c r="I76" s="10" t="s">
        <v>93</v>
      </c>
      <c r="J76" s="10"/>
      <c r="K76" s="10" t="n">
        <v>0</v>
      </c>
      <c r="L76" s="10" t="n">
        <v>4</v>
      </c>
    </row>
    <row r="77" customFormat="false" ht="15" hidden="false" customHeight="false" outlineLevel="0" collapsed="false">
      <c r="A77" s="10" t="s">
        <v>172</v>
      </c>
      <c r="B77" s="10" t="n">
        <v>10</v>
      </c>
      <c r="C77" s="17" t="n">
        <v>45964</v>
      </c>
      <c r="D77" s="10" t="s">
        <v>92</v>
      </c>
      <c r="E77" s="10" t="s">
        <v>89</v>
      </c>
      <c r="F77" s="11" t="n">
        <v>140900</v>
      </c>
      <c r="G77" s="10" t="s">
        <v>85</v>
      </c>
      <c r="H77" s="10" t="s">
        <v>148</v>
      </c>
      <c r="I77" s="10" t="s">
        <v>93</v>
      </c>
      <c r="J77" s="10"/>
      <c r="K77" s="10" t="n">
        <v>0</v>
      </c>
      <c r="L77" s="10" t="n">
        <v>4</v>
      </c>
    </row>
    <row r="78" customFormat="false" ht="15" hidden="false" customHeight="false" outlineLevel="0" collapsed="false">
      <c r="A78" s="10" t="s">
        <v>173</v>
      </c>
      <c r="B78" s="10" t="n">
        <v>10</v>
      </c>
      <c r="C78" s="17" t="n">
        <v>45967</v>
      </c>
      <c r="D78" s="10" t="s">
        <v>88</v>
      </c>
      <c r="E78" s="10" t="s">
        <v>89</v>
      </c>
      <c r="F78" s="11" t="n">
        <v>105300</v>
      </c>
      <c r="G78" s="10" t="s">
        <v>99</v>
      </c>
      <c r="H78" s="10" t="s">
        <v>148</v>
      </c>
      <c r="I78" s="10" t="s">
        <v>93</v>
      </c>
      <c r="J78" s="10"/>
      <c r="K78" s="10" t="n">
        <v>0</v>
      </c>
      <c r="L78" s="10" t="n">
        <v>5</v>
      </c>
    </row>
    <row r="79" customFormat="false" ht="15" hidden="false" customHeight="false" outlineLevel="0" collapsed="false">
      <c r="A79" s="10" t="s">
        <v>174</v>
      </c>
      <c r="B79" s="10" t="n">
        <v>10</v>
      </c>
      <c r="C79" s="17" t="n">
        <v>45966</v>
      </c>
      <c r="D79" s="10" t="s">
        <v>115</v>
      </c>
      <c r="E79" s="10" t="s">
        <v>73</v>
      </c>
      <c r="F79" s="11" t="n">
        <v>125500</v>
      </c>
      <c r="G79" s="10" t="s">
        <v>85</v>
      </c>
      <c r="H79" s="10" t="s">
        <v>148</v>
      </c>
      <c r="I79" s="10" t="s">
        <v>93</v>
      </c>
      <c r="J79" s="10"/>
      <c r="K79" s="10" t="n">
        <v>0</v>
      </c>
      <c r="L79" s="10" t="n">
        <v>2</v>
      </c>
    </row>
    <row r="80" customFormat="false" ht="15" hidden="false" customHeight="false" outlineLevel="0" collapsed="false">
      <c r="A80" s="10" t="s">
        <v>175</v>
      </c>
      <c r="B80" s="10" t="n">
        <v>10</v>
      </c>
      <c r="C80" s="17" t="n">
        <v>45966</v>
      </c>
      <c r="D80" s="10" t="s">
        <v>115</v>
      </c>
      <c r="E80" s="10" t="s">
        <v>73</v>
      </c>
      <c r="F80" s="11" t="n">
        <v>141700</v>
      </c>
      <c r="G80" s="10" t="s">
        <v>74</v>
      </c>
      <c r="H80" s="10" t="s">
        <v>148</v>
      </c>
      <c r="I80" s="10" t="s">
        <v>93</v>
      </c>
      <c r="J80" s="10"/>
      <c r="K80" s="10" t="n">
        <v>0</v>
      </c>
      <c r="L80" s="10" t="n">
        <v>5</v>
      </c>
    </row>
    <row r="81" customFormat="false" ht="15" hidden="false" customHeight="false" outlineLevel="0" collapsed="false">
      <c r="A81" s="10" t="s">
        <v>176</v>
      </c>
      <c r="B81" s="10" t="n">
        <v>10</v>
      </c>
      <c r="C81" s="17" t="n">
        <v>45964</v>
      </c>
      <c r="D81" s="10" t="s">
        <v>98</v>
      </c>
      <c r="E81" s="10" t="s">
        <v>89</v>
      </c>
      <c r="F81" s="11" t="n">
        <v>6200</v>
      </c>
      <c r="G81" s="10" t="s">
        <v>81</v>
      </c>
      <c r="H81" s="10" t="s">
        <v>148</v>
      </c>
      <c r="I81" s="10" t="s">
        <v>93</v>
      </c>
      <c r="J81" s="10"/>
      <c r="K81" s="10" t="n">
        <v>0</v>
      </c>
      <c r="L81" s="10" t="n">
        <v>5</v>
      </c>
    </row>
    <row r="82" customFormat="false" ht="15" hidden="false" customHeight="false" outlineLevel="0" collapsed="false">
      <c r="A82" s="10" t="s">
        <v>177</v>
      </c>
      <c r="B82" s="10" t="n">
        <v>10</v>
      </c>
      <c r="C82" s="17" t="n">
        <v>45968</v>
      </c>
      <c r="D82" s="10" t="s">
        <v>79</v>
      </c>
      <c r="E82" s="10" t="s">
        <v>80</v>
      </c>
      <c r="F82" s="11" t="n">
        <v>128500</v>
      </c>
      <c r="G82" s="10" t="s">
        <v>85</v>
      </c>
      <c r="H82" s="10" t="s">
        <v>148</v>
      </c>
      <c r="I82" s="10" t="s">
        <v>93</v>
      </c>
      <c r="J82" s="10"/>
      <c r="K82" s="10" t="n">
        <v>0</v>
      </c>
      <c r="L82" s="10" t="n">
        <v>4</v>
      </c>
    </row>
    <row r="83" customFormat="false" ht="15" hidden="false" customHeight="false" outlineLevel="0" collapsed="false">
      <c r="A83" s="10" t="s">
        <v>178</v>
      </c>
      <c r="B83" s="10" t="n">
        <v>10</v>
      </c>
      <c r="C83" s="17" t="n">
        <v>45966</v>
      </c>
      <c r="D83" s="10" t="s">
        <v>103</v>
      </c>
      <c r="E83" s="10" t="s">
        <v>80</v>
      </c>
      <c r="F83" s="11" t="n">
        <v>80700</v>
      </c>
      <c r="G83" s="10" t="s">
        <v>99</v>
      </c>
      <c r="H83" s="10" t="s">
        <v>148</v>
      </c>
      <c r="I83" s="10" t="s">
        <v>93</v>
      </c>
      <c r="J83" s="10"/>
      <c r="K83" s="10" t="n">
        <v>0</v>
      </c>
      <c r="L83" s="10" t="n">
        <v>4</v>
      </c>
    </row>
    <row r="84" customFormat="false" ht="15" hidden="false" customHeight="false" outlineLevel="0" collapsed="false">
      <c r="A84" s="10" t="s">
        <v>179</v>
      </c>
      <c r="B84" s="10" t="n">
        <v>10</v>
      </c>
      <c r="C84" s="17" t="n">
        <v>45968</v>
      </c>
      <c r="D84" s="10" t="s">
        <v>115</v>
      </c>
      <c r="E84" s="10" t="s">
        <v>89</v>
      </c>
      <c r="F84" s="11" t="n">
        <v>159200</v>
      </c>
      <c r="G84" s="10" t="s">
        <v>85</v>
      </c>
      <c r="H84" s="10" t="s">
        <v>148</v>
      </c>
      <c r="I84" s="10" t="s">
        <v>93</v>
      </c>
      <c r="J84" s="10"/>
      <c r="K84" s="10" t="n">
        <v>0</v>
      </c>
      <c r="L84" s="10" t="n">
        <v>5</v>
      </c>
    </row>
    <row r="85" customFormat="false" ht="15" hidden="false" customHeight="false" outlineLevel="0" collapsed="false">
      <c r="A85" s="10" t="s">
        <v>180</v>
      </c>
      <c r="B85" s="10" t="n">
        <v>11</v>
      </c>
      <c r="C85" s="17" t="n">
        <v>45972</v>
      </c>
      <c r="D85" s="10" t="s">
        <v>72</v>
      </c>
      <c r="E85" s="10" t="s">
        <v>80</v>
      </c>
      <c r="F85" s="11" t="n">
        <v>63200</v>
      </c>
      <c r="G85" s="10" t="s">
        <v>81</v>
      </c>
      <c r="H85" s="10" t="s">
        <v>148</v>
      </c>
      <c r="I85" s="10" t="s">
        <v>93</v>
      </c>
      <c r="J85" s="10"/>
      <c r="K85" s="10" t="n">
        <v>0</v>
      </c>
      <c r="L85" s="10" t="n">
        <v>4</v>
      </c>
    </row>
    <row r="86" customFormat="false" ht="15" hidden="false" customHeight="false" outlineLevel="0" collapsed="false">
      <c r="A86" s="10" t="s">
        <v>181</v>
      </c>
      <c r="B86" s="10" t="n">
        <v>11</v>
      </c>
      <c r="C86" s="17" t="n">
        <v>45975</v>
      </c>
      <c r="D86" s="10" t="s">
        <v>105</v>
      </c>
      <c r="E86" s="10" t="s">
        <v>89</v>
      </c>
      <c r="F86" s="11" t="n">
        <v>144400</v>
      </c>
      <c r="G86" s="10" t="s">
        <v>74</v>
      </c>
      <c r="H86" s="10" t="s">
        <v>148</v>
      </c>
      <c r="I86" s="10" t="s">
        <v>93</v>
      </c>
      <c r="J86" s="10"/>
      <c r="K86" s="10" t="n">
        <v>0</v>
      </c>
      <c r="L86" s="10" t="n">
        <v>4</v>
      </c>
    </row>
    <row r="87" customFormat="false" ht="15" hidden="false" customHeight="false" outlineLevel="0" collapsed="false">
      <c r="A87" s="10" t="s">
        <v>182</v>
      </c>
      <c r="B87" s="10" t="n">
        <v>11</v>
      </c>
      <c r="C87" s="17" t="n">
        <v>45975</v>
      </c>
      <c r="D87" s="10" t="s">
        <v>98</v>
      </c>
      <c r="E87" s="10" t="s">
        <v>89</v>
      </c>
      <c r="F87" s="11" t="n">
        <v>19100</v>
      </c>
      <c r="G87" s="10" t="s">
        <v>99</v>
      </c>
      <c r="H87" s="10" t="s">
        <v>148</v>
      </c>
      <c r="I87" s="10" t="s">
        <v>93</v>
      </c>
      <c r="J87" s="10"/>
      <c r="K87" s="10" t="n">
        <v>0</v>
      </c>
      <c r="L87" s="10" t="n">
        <v>5</v>
      </c>
    </row>
    <row r="88" customFormat="false" ht="15" hidden="false" customHeight="false" outlineLevel="0" collapsed="false">
      <c r="A88" s="10" t="s">
        <v>183</v>
      </c>
      <c r="B88" s="10" t="n">
        <v>11</v>
      </c>
      <c r="C88" s="17" t="n">
        <v>45972</v>
      </c>
      <c r="D88" s="10" t="s">
        <v>103</v>
      </c>
      <c r="E88" s="10" t="s">
        <v>80</v>
      </c>
      <c r="F88" s="11" t="n">
        <v>82900</v>
      </c>
      <c r="G88" s="10" t="s">
        <v>96</v>
      </c>
      <c r="H88" s="10" t="s">
        <v>148</v>
      </c>
      <c r="I88" s="10" t="s">
        <v>76</v>
      </c>
      <c r="J88" s="10" t="s">
        <v>106</v>
      </c>
      <c r="K88" s="10" t="n">
        <v>1</v>
      </c>
      <c r="L88" s="10" t="n">
        <v>12</v>
      </c>
    </row>
    <row r="89" customFormat="false" ht="15" hidden="false" customHeight="false" outlineLevel="0" collapsed="false">
      <c r="A89" s="10" t="s">
        <v>184</v>
      </c>
      <c r="B89" s="10" t="n">
        <v>11</v>
      </c>
      <c r="C89" s="17" t="n">
        <v>45974</v>
      </c>
      <c r="D89" s="10" t="s">
        <v>72</v>
      </c>
      <c r="E89" s="10" t="s">
        <v>73</v>
      </c>
      <c r="F89" s="11" t="n">
        <v>68900</v>
      </c>
      <c r="G89" s="10" t="s">
        <v>85</v>
      </c>
      <c r="H89" s="10" t="s">
        <v>148</v>
      </c>
      <c r="I89" s="10" t="s">
        <v>93</v>
      </c>
      <c r="J89" s="10"/>
      <c r="K89" s="10" t="n">
        <v>0</v>
      </c>
      <c r="L89" s="10" t="n">
        <v>4</v>
      </c>
    </row>
    <row r="90" customFormat="false" ht="15" hidden="false" customHeight="false" outlineLevel="0" collapsed="false">
      <c r="A90" s="10" t="s">
        <v>185</v>
      </c>
      <c r="B90" s="10" t="n">
        <v>11</v>
      </c>
      <c r="C90" s="17" t="n">
        <v>45972</v>
      </c>
      <c r="D90" s="10" t="s">
        <v>79</v>
      </c>
      <c r="E90" s="10" t="s">
        <v>89</v>
      </c>
      <c r="F90" s="11" t="n">
        <v>127700</v>
      </c>
      <c r="G90" s="10" t="s">
        <v>74</v>
      </c>
      <c r="H90" s="10" t="s">
        <v>148</v>
      </c>
      <c r="I90" s="10" t="s">
        <v>93</v>
      </c>
      <c r="J90" s="10"/>
      <c r="K90" s="10" t="n">
        <v>0</v>
      </c>
      <c r="L90" s="10" t="n">
        <v>4</v>
      </c>
    </row>
    <row r="91" customFormat="false" ht="15" hidden="false" customHeight="false" outlineLevel="0" collapsed="false">
      <c r="A91" s="10" t="s">
        <v>186</v>
      </c>
      <c r="B91" s="10" t="n">
        <v>11</v>
      </c>
      <c r="C91" s="17" t="n">
        <v>45972</v>
      </c>
      <c r="D91" s="10" t="s">
        <v>105</v>
      </c>
      <c r="E91" s="10" t="s">
        <v>89</v>
      </c>
      <c r="F91" s="11" t="n">
        <v>25000</v>
      </c>
      <c r="G91" s="10" t="s">
        <v>99</v>
      </c>
      <c r="H91" s="10" t="s">
        <v>148</v>
      </c>
      <c r="I91" s="10" t="s">
        <v>93</v>
      </c>
      <c r="J91" s="10"/>
      <c r="K91" s="10" t="n">
        <v>0</v>
      </c>
      <c r="L91" s="10" t="n">
        <v>3</v>
      </c>
    </row>
    <row r="92" customFormat="false" ht="15" hidden="false" customHeight="false" outlineLevel="0" collapsed="false">
      <c r="A92" s="10" t="s">
        <v>187</v>
      </c>
      <c r="B92" s="10" t="n">
        <v>11</v>
      </c>
      <c r="C92" s="17" t="n">
        <v>45971</v>
      </c>
      <c r="D92" s="10" t="s">
        <v>103</v>
      </c>
      <c r="E92" s="10" t="s">
        <v>89</v>
      </c>
      <c r="F92" s="11" t="n">
        <v>131500</v>
      </c>
      <c r="G92" s="10" t="s">
        <v>99</v>
      </c>
      <c r="H92" s="10" t="s">
        <v>148</v>
      </c>
      <c r="I92" s="10" t="s">
        <v>93</v>
      </c>
      <c r="J92" s="10"/>
      <c r="K92" s="10" t="n">
        <v>0</v>
      </c>
      <c r="L92" s="10" t="n">
        <v>4</v>
      </c>
    </row>
    <row r="93" customFormat="false" ht="15" hidden="false" customHeight="false" outlineLevel="0" collapsed="false">
      <c r="A93" s="10" t="s">
        <v>188</v>
      </c>
      <c r="B93" s="10" t="n">
        <v>12</v>
      </c>
      <c r="C93" s="17" t="n">
        <v>45980</v>
      </c>
      <c r="D93" s="10" t="s">
        <v>95</v>
      </c>
      <c r="E93" s="10" t="s">
        <v>89</v>
      </c>
      <c r="F93" s="11" t="n">
        <v>67500</v>
      </c>
      <c r="G93" s="10" t="s">
        <v>74</v>
      </c>
      <c r="H93" s="10" t="s">
        <v>148</v>
      </c>
      <c r="I93" s="10" t="s">
        <v>93</v>
      </c>
      <c r="J93" s="10"/>
      <c r="K93" s="10" t="n">
        <v>0</v>
      </c>
      <c r="L93" s="10" t="n">
        <v>3</v>
      </c>
    </row>
    <row r="94" customFormat="false" ht="15" hidden="false" customHeight="false" outlineLevel="0" collapsed="false">
      <c r="A94" s="10" t="s">
        <v>189</v>
      </c>
      <c r="B94" s="10" t="n">
        <v>12</v>
      </c>
      <c r="C94" s="17" t="n">
        <v>45978</v>
      </c>
      <c r="D94" s="10" t="s">
        <v>88</v>
      </c>
      <c r="E94" s="10" t="s">
        <v>73</v>
      </c>
      <c r="F94" s="11" t="n">
        <v>55400</v>
      </c>
      <c r="G94" s="10" t="s">
        <v>74</v>
      </c>
      <c r="H94" s="10" t="s">
        <v>148</v>
      </c>
      <c r="I94" s="10" t="s">
        <v>93</v>
      </c>
      <c r="J94" s="10"/>
      <c r="K94" s="10" t="n">
        <v>0</v>
      </c>
      <c r="L94" s="10" t="n">
        <v>5</v>
      </c>
    </row>
    <row r="95" customFormat="false" ht="15" hidden="false" customHeight="false" outlineLevel="0" collapsed="false">
      <c r="A95" s="10" t="s">
        <v>190</v>
      </c>
      <c r="B95" s="10" t="n">
        <v>12</v>
      </c>
      <c r="C95" s="17" t="n">
        <v>45978</v>
      </c>
      <c r="D95" s="10" t="s">
        <v>92</v>
      </c>
      <c r="E95" s="10" t="s">
        <v>89</v>
      </c>
      <c r="F95" s="11" t="n">
        <v>86600</v>
      </c>
      <c r="G95" s="10" t="s">
        <v>96</v>
      </c>
      <c r="H95" s="10" t="s">
        <v>148</v>
      </c>
      <c r="I95" s="10" t="s">
        <v>93</v>
      </c>
      <c r="J95" s="10"/>
      <c r="K95" s="10" t="n">
        <v>0</v>
      </c>
      <c r="L95" s="10" t="n">
        <v>3</v>
      </c>
    </row>
    <row r="96" customFormat="false" ht="15" hidden="false" customHeight="false" outlineLevel="0" collapsed="false">
      <c r="A96" s="10" t="s">
        <v>191</v>
      </c>
      <c r="B96" s="10" t="n">
        <v>12</v>
      </c>
      <c r="C96" s="17" t="n">
        <v>45982</v>
      </c>
      <c r="D96" s="10" t="s">
        <v>103</v>
      </c>
      <c r="E96" s="10" t="s">
        <v>89</v>
      </c>
      <c r="F96" s="11" t="n">
        <v>148700</v>
      </c>
      <c r="G96" s="10" t="s">
        <v>74</v>
      </c>
      <c r="H96" s="10" t="s">
        <v>148</v>
      </c>
      <c r="I96" s="10" t="s">
        <v>93</v>
      </c>
      <c r="J96" s="10"/>
      <c r="K96" s="10" t="n">
        <v>0</v>
      </c>
      <c r="L96" s="10" t="n">
        <v>2</v>
      </c>
    </row>
    <row r="97" customFormat="false" ht="15" hidden="false" customHeight="false" outlineLevel="0" collapsed="false">
      <c r="A97" s="10" t="s">
        <v>192</v>
      </c>
      <c r="B97" s="10" t="n">
        <v>12</v>
      </c>
      <c r="C97" s="17" t="n">
        <v>45979</v>
      </c>
      <c r="D97" s="10" t="s">
        <v>101</v>
      </c>
      <c r="E97" s="10" t="s">
        <v>89</v>
      </c>
      <c r="F97" s="11" t="n">
        <v>146800</v>
      </c>
      <c r="G97" s="10" t="s">
        <v>74</v>
      </c>
      <c r="H97" s="10" t="s">
        <v>148</v>
      </c>
      <c r="I97" s="10" t="s">
        <v>93</v>
      </c>
      <c r="J97" s="10"/>
      <c r="K97" s="10" t="n">
        <v>0</v>
      </c>
      <c r="L97" s="10" t="n">
        <v>2</v>
      </c>
    </row>
    <row r="98" customFormat="false" ht="15" hidden="false" customHeight="false" outlineLevel="0" collapsed="false">
      <c r="A98" s="10" t="s">
        <v>193</v>
      </c>
      <c r="B98" s="10" t="n">
        <v>12</v>
      </c>
      <c r="C98" s="17" t="n">
        <v>45982</v>
      </c>
      <c r="D98" s="10" t="s">
        <v>98</v>
      </c>
      <c r="E98" s="10" t="s">
        <v>80</v>
      </c>
      <c r="F98" s="11" t="n">
        <v>110700</v>
      </c>
      <c r="G98" s="10" t="s">
        <v>81</v>
      </c>
      <c r="H98" s="10" t="s">
        <v>148</v>
      </c>
      <c r="I98" s="10" t="s">
        <v>93</v>
      </c>
      <c r="J98" s="10"/>
      <c r="K98" s="10" t="n">
        <v>0</v>
      </c>
      <c r="L98" s="10" t="n">
        <v>3</v>
      </c>
    </row>
    <row r="99" customFormat="false" ht="15" hidden="false" customHeight="false" outlineLevel="0" collapsed="false">
      <c r="A99" s="10" t="s">
        <v>194</v>
      </c>
      <c r="B99" s="10" t="n">
        <v>12</v>
      </c>
      <c r="C99" s="17" t="n">
        <v>45980</v>
      </c>
      <c r="D99" s="10" t="s">
        <v>103</v>
      </c>
      <c r="E99" s="10" t="s">
        <v>80</v>
      </c>
      <c r="F99" s="11" t="n">
        <v>56300</v>
      </c>
      <c r="G99" s="10" t="s">
        <v>85</v>
      </c>
      <c r="H99" s="10" t="s">
        <v>148</v>
      </c>
      <c r="I99" s="10" t="s">
        <v>93</v>
      </c>
      <c r="J99" s="10"/>
      <c r="K99" s="10" t="n">
        <v>0</v>
      </c>
      <c r="L99" s="10" t="n">
        <v>5</v>
      </c>
    </row>
    <row r="100" customFormat="false" ht="15" hidden="false" customHeight="false" outlineLevel="0" collapsed="false">
      <c r="A100" s="10" t="s">
        <v>195</v>
      </c>
      <c r="B100" s="10" t="n">
        <v>12</v>
      </c>
      <c r="C100" s="17" t="n">
        <v>45979</v>
      </c>
      <c r="D100" s="10" t="s">
        <v>92</v>
      </c>
      <c r="E100" s="10" t="s">
        <v>89</v>
      </c>
      <c r="F100" s="11" t="n">
        <v>111300</v>
      </c>
      <c r="G100" s="10" t="s">
        <v>96</v>
      </c>
      <c r="H100" s="10" t="s">
        <v>148</v>
      </c>
      <c r="I100" s="10" t="s">
        <v>93</v>
      </c>
      <c r="J100" s="10"/>
      <c r="K100" s="10" t="n">
        <v>0</v>
      </c>
      <c r="L100" s="10" t="n">
        <v>3</v>
      </c>
    </row>
  </sheetData>
  <autoFilter ref="A4:L1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10"/>
  </cols>
  <sheetData>
    <row r="1" customFormat="false" ht="17.35" hidden="false" customHeight="false" outlineLevel="0" collapsed="false">
      <c r="A1" s="1" t="s">
        <v>196</v>
      </c>
    </row>
    <row r="2" customFormat="false" ht="15" hidden="false" customHeight="false" outlineLevel="0" collapsed="false">
      <c r="A2" s="2" t="s">
        <v>197</v>
      </c>
    </row>
    <row r="4" customFormat="false" ht="30" hidden="false" customHeight="true" outlineLevel="0" collapsed="false">
      <c r="A4" s="9" t="s">
        <v>198</v>
      </c>
      <c r="B4" s="9" t="s">
        <v>68</v>
      </c>
      <c r="C4" s="9" t="s">
        <v>199</v>
      </c>
      <c r="D4" s="9" t="s">
        <v>200</v>
      </c>
      <c r="E4" s="9" t="s">
        <v>201</v>
      </c>
      <c r="F4" s="9" t="s">
        <v>202</v>
      </c>
      <c r="G4" s="9" t="s">
        <v>203</v>
      </c>
    </row>
    <row r="5" customFormat="false" ht="15" hidden="false" customHeight="false" outlineLevel="0" collapsed="false">
      <c r="A5" s="10" t="s">
        <v>204</v>
      </c>
      <c r="B5" s="10" t="s">
        <v>110</v>
      </c>
      <c r="C5" s="10" t="n">
        <f aca="false">COUNTIFS(Submission_Log!$J$5:$J$100,B5,Submission_Log!$H$5:$H$100,"No")</f>
        <v>5</v>
      </c>
      <c r="D5" s="12" t="n">
        <f aca="false">IFERROR(C5/$C$11,0)</f>
        <v>0.227272727272727</v>
      </c>
      <c r="E5" s="12" t="n">
        <f aca="false">SUM($D$5:D5)</f>
        <v>0.227272727272727</v>
      </c>
      <c r="F5" s="10" t="n">
        <f aca="false">COUNTIFS(Submission_Log!$J$5:$J$100,B5,Submission_Log!$H$5:$H$100,"Yes")</f>
        <v>0</v>
      </c>
      <c r="G5" s="18" t="n">
        <f aca="false">F5-C5</f>
        <v>-5</v>
      </c>
    </row>
    <row r="6" customFormat="false" ht="15" hidden="false" customHeight="false" outlineLevel="0" collapsed="false">
      <c r="A6" s="10" t="s">
        <v>205</v>
      </c>
      <c r="B6" s="10" t="s">
        <v>77</v>
      </c>
      <c r="C6" s="10" t="n">
        <f aca="false">COUNTIFS(Submission_Log!$J$5:$J$100,B6,Submission_Log!$H$5:$H$100,"No")</f>
        <v>4</v>
      </c>
      <c r="D6" s="12" t="n">
        <f aca="false">IFERROR(C6/$C$11,0)</f>
        <v>0.181818181818182</v>
      </c>
      <c r="E6" s="12" t="n">
        <f aca="false">SUM($D$5:D6)</f>
        <v>0.409090909090909</v>
      </c>
      <c r="F6" s="10" t="n">
        <f aca="false">COUNTIFS(Submission_Log!$J$5:$J$100,B6,Submission_Log!$H$5:$H$100,"Yes")</f>
        <v>0</v>
      </c>
      <c r="G6" s="18" t="n">
        <f aca="false">F6-C6</f>
        <v>-4</v>
      </c>
    </row>
    <row r="7" customFormat="false" ht="15" hidden="false" customHeight="false" outlineLevel="0" collapsed="false">
      <c r="A7" s="10" t="s">
        <v>206</v>
      </c>
      <c r="B7" s="10" t="s">
        <v>82</v>
      </c>
      <c r="C7" s="10" t="n">
        <f aca="false">COUNTIFS(Submission_Log!$J$5:$J$100,B7,Submission_Log!$H$5:$H$100,"No")</f>
        <v>4</v>
      </c>
      <c r="D7" s="12" t="n">
        <f aca="false">IFERROR(C7/$C$11,0)</f>
        <v>0.181818181818182</v>
      </c>
      <c r="E7" s="12" t="n">
        <f aca="false">SUM($D$5:D7)</f>
        <v>0.590909090909091</v>
      </c>
      <c r="F7" s="10" t="n">
        <f aca="false">COUNTIFS(Submission_Log!$J$5:$J$100,B7,Submission_Log!$H$5:$H$100,"Yes")</f>
        <v>1</v>
      </c>
      <c r="G7" s="18" t="n">
        <f aca="false">F7-C7</f>
        <v>-3</v>
      </c>
    </row>
    <row r="8" customFormat="false" ht="15" hidden="false" customHeight="false" outlineLevel="0" collapsed="false">
      <c r="A8" s="10" t="s">
        <v>207</v>
      </c>
      <c r="B8" s="10" t="s">
        <v>106</v>
      </c>
      <c r="C8" s="10" t="n">
        <f aca="false">COUNTIFS(Submission_Log!$J$5:$J$100,B8,Submission_Log!$H$5:$H$100,"No")</f>
        <v>3</v>
      </c>
      <c r="D8" s="12" t="n">
        <f aca="false">IFERROR(C8/$C$11,0)</f>
        <v>0.136363636363636</v>
      </c>
      <c r="E8" s="12" t="n">
        <f aca="false">SUM($D$5:D8)</f>
        <v>0.727272727272727</v>
      </c>
      <c r="F8" s="10" t="n">
        <f aca="false">COUNTIFS(Submission_Log!$J$5:$J$100,B8,Submission_Log!$H$5:$H$100,"Yes")</f>
        <v>2</v>
      </c>
      <c r="G8" s="18" t="n">
        <f aca="false">F8-C8</f>
        <v>-1</v>
      </c>
    </row>
    <row r="9" customFormat="false" ht="15" hidden="false" customHeight="false" outlineLevel="0" collapsed="false">
      <c r="A9" s="10" t="s">
        <v>208</v>
      </c>
      <c r="B9" s="10" t="s">
        <v>90</v>
      </c>
      <c r="C9" s="10" t="n">
        <f aca="false">COUNTIFS(Submission_Log!$J$5:$J$100,B9,Submission_Log!$H$5:$H$100,"No")</f>
        <v>3</v>
      </c>
      <c r="D9" s="12" t="n">
        <f aca="false">IFERROR(C9/$C$11,0)</f>
        <v>0.136363636363636</v>
      </c>
      <c r="E9" s="12" t="n">
        <f aca="false">SUM($D$5:D9)</f>
        <v>0.863636363636364</v>
      </c>
      <c r="F9" s="10" t="n">
        <f aca="false">COUNTIFS(Submission_Log!$J$5:$J$100,B9,Submission_Log!$H$5:$H$100,"Yes")</f>
        <v>0</v>
      </c>
      <c r="G9" s="18" t="n">
        <f aca="false">F9-C9</f>
        <v>-3</v>
      </c>
    </row>
    <row r="10" customFormat="false" ht="15" hidden="false" customHeight="false" outlineLevel="0" collapsed="false">
      <c r="A10" s="10" t="s">
        <v>209</v>
      </c>
      <c r="B10" s="10" t="s">
        <v>118</v>
      </c>
      <c r="C10" s="10" t="n">
        <f aca="false">COUNTIFS(Submission_Log!$J$5:$J$100,B10,Submission_Log!$H$5:$H$100,"No")</f>
        <v>3</v>
      </c>
      <c r="D10" s="12" t="n">
        <f aca="false">IFERROR(C10/$C$11,0)</f>
        <v>0.136363636363636</v>
      </c>
      <c r="E10" s="12" t="n">
        <f aca="false">SUM($D$5:D10)</f>
        <v>1</v>
      </c>
      <c r="F10" s="10" t="n">
        <f aca="false">COUNTIFS(Submission_Log!$J$5:$J$100,B10,Submission_Log!$H$5:$H$100,"Yes")</f>
        <v>2</v>
      </c>
      <c r="G10" s="18" t="n">
        <f aca="false">F10-C10</f>
        <v>-1</v>
      </c>
    </row>
    <row r="11" customFormat="false" ht="15" hidden="false" customHeight="false" outlineLevel="0" collapsed="false">
      <c r="A11" s="10"/>
      <c r="B11" s="19" t="s">
        <v>210</v>
      </c>
      <c r="C11" s="19" t="n">
        <f aca="false">SUM(C5:C10)</f>
        <v>22</v>
      </c>
      <c r="D11" s="12"/>
      <c r="E11" s="12"/>
      <c r="F11" s="19" t="n">
        <f aca="false">SUM(F5:F10)</f>
        <v>5</v>
      </c>
      <c r="G11" s="20" t="n">
        <f aca="false">F11-C11</f>
        <v>-17</v>
      </c>
    </row>
    <row r="13" customFormat="false" ht="15" hidden="false" customHeight="false" outlineLevel="0" collapsed="false">
      <c r="A13" s="7" t="s">
        <v>211</v>
      </c>
    </row>
    <row r="14" customFormat="false" ht="15" hidden="false" customHeight="false" outlineLevel="0" collapsed="false">
      <c r="A14" s="16" t="s">
        <v>212</v>
      </c>
    </row>
    <row r="15" customFormat="false" ht="15" hidden="false" customHeight="false" outlineLevel="0" collapsed="false">
      <c r="A15" s="16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52"/>
    <col collapsed="false" customWidth="true" hidden="false" outlineLevel="0" max="4" min="4" style="0" width="10"/>
    <col collapsed="false" customWidth="true" hidden="false" outlineLevel="0" max="5" min="5" style="0" width="11"/>
  </cols>
  <sheetData>
    <row r="1" customFormat="false" ht="17.35" hidden="false" customHeight="false" outlineLevel="0" collapsed="false">
      <c r="A1" s="1" t="s">
        <v>214</v>
      </c>
    </row>
    <row r="2" customFormat="false" ht="15" hidden="false" customHeight="false" outlineLevel="0" collapsed="false">
      <c r="A2" s="2" t="s">
        <v>215</v>
      </c>
    </row>
    <row r="4" customFormat="false" ht="15" hidden="false" customHeight="false" outlineLevel="0" collapsed="false">
      <c r="A4" s="9" t="s">
        <v>216</v>
      </c>
      <c r="B4" s="9" t="s">
        <v>217</v>
      </c>
      <c r="C4" s="9" t="s">
        <v>218</v>
      </c>
      <c r="D4" s="9" t="s">
        <v>219</v>
      </c>
      <c r="E4" s="9" t="s">
        <v>220</v>
      </c>
    </row>
    <row r="5" customFormat="false" ht="15" hidden="false" customHeight="false" outlineLevel="0" collapsed="false">
      <c r="A5" s="10" t="n">
        <v>1</v>
      </c>
      <c r="B5" s="21" t="s">
        <v>221</v>
      </c>
      <c r="C5" s="21" t="s">
        <v>222</v>
      </c>
      <c r="D5" s="10" t="s">
        <v>204</v>
      </c>
      <c r="E5" s="22" t="s">
        <v>223</v>
      </c>
    </row>
    <row r="6" customFormat="false" ht="23.85" hidden="false" customHeight="false" outlineLevel="0" collapsed="false">
      <c r="A6" s="10" t="n">
        <v>2</v>
      </c>
      <c r="B6" s="21" t="s">
        <v>224</v>
      </c>
      <c r="C6" s="21" t="s">
        <v>225</v>
      </c>
      <c r="D6" s="10" t="s">
        <v>207</v>
      </c>
      <c r="E6" s="22"/>
    </row>
    <row r="7" customFormat="false" ht="15" hidden="false" customHeight="false" outlineLevel="0" collapsed="false">
      <c r="A7" s="10" t="n">
        <v>3</v>
      </c>
      <c r="B7" s="21" t="s">
        <v>226</v>
      </c>
      <c r="C7" s="21" t="s">
        <v>227</v>
      </c>
      <c r="D7" s="10" t="s">
        <v>208</v>
      </c>
      <c r="E7" s="22"/>
    </row>
    <row r="8" customFormat="false" ht="15" hidden="false" customHeight="false" outlineLevel="0" collapsed="false">
      <c r="A8" s="10" t="n">
        <v>4</v>
      </c>
      <c r="B8" s="21" t="s">
        <v>228</v>
      </c>
      <c r="C8" s="21" t="s">
        <v>229</v>
      </c>
      <c r="D8" s="10" t="s">
        <v>205</v>
      </c>
      <c r="E8" s="22"/>
    </row>
    <row r="9" customFormat="false" ht="15" hidden="false" customHeight="false" outlineLevel="0" collapsed="false">
      <c r="A9" s="10" t="n">
        <v>5</v>
      </c>
      <c r="B9" s="21" t="s">
        <v>230</v>
      </c>
      <c r="C9" s="21" t="s">
        <v>231</v>
      </c>
      <c r="D9" s="10" t="s">
        <v>205</v>
      </c>
      <c r="E9" s="22"/>
    </row>
    <row r="10" customFormat="false" ht="23.85" hidden="false" customHeight="false" outlineLevel="0" collapsed="false">
      <c r="A10" s="10" t="n">
        <v>6</v>
      </c>
      <c r="B10" s="21" t="s">
        <v>232</v>
      </c>
      <c r="C10" s="21" t="s">
        <v>233</v>
      </c>
      <c r="D10" s="10" t="s">
        <v>209</v>
      </c>
      <c r="E10" s="22"/>
    </row>
    <row r="11" customFormat="false" ht="15" hidden="false" customHeight="false" outlineLevel="0" collapsed="false">
      <c r="A11" s="10" t="n">
        <v>7</v>
      </c>
      <c r="B11" s="21" t="s">
        <v>234</v>
      </c>
      <c r="C11" s="21" t="s">
        <v>235</v>
      </c>
      <c r="D11" s="10" t="s">
        <v>206</v>
      </c>
      <c r="E11" s="22"/>
    </row>
    <row r="12" customFormat="false" ht="15" hidden="false" customHeight="false" outlineLevel="0" collapsed="false">
      <c r="A12" s="10" t="n">
        <v>8</v>
      </c>
      <c r="B12" s="21" t="s">
        <v>236</v>
      </c>
      <c r="C12" s="21" t="s">
        <v>237</v>
      </c>
      <c r="D12" s="10" t="s">
        <v>204</v>
      </c>
      <c r="E12" s="22"/>
    </row>
    <row r="14" customFormat="false" ht="15" hidden="false" customHeight="false" outlineLevel="0" collapsed="false">
      <c r="B14" s="7" t="s">
        <v>238</v>
      </c>
      <c r="E14" s="7" t="str">
        <f aca="false">COUNTIF(E5:E12,"Y")&amp;" of "&amp;COUNTA(B5:B12)</f>
        <v>1 of 8</v>
      </c>
    </row>
    <row r="15" customFormat="false" ht="15" hidden="false" customHeight="false" outlineLevel="0" collapsed="false">
      <c r="B15" s="7" t="s">
        <v>239</v>
      </c>
      <c r="E15" s="7" t="str">
        <f aca="false">IF(COUNTIF(E5:E12,"Y")=COUNTA(B5:B12),"YES - route","NO - hold")</f>
        <v>NO - hold</v>
      </c>
    </row>
    <row r="17" customFormat="false" ht="15" hidden="false" customHeight="false" outlineLevel="0" collapsed="false">
      <c r="B17" s="2" t="s">
        <v>240</v>
      </c>
    </row>
  </sheetData>
  <dataValidations count="1">
    <dataValidation allowBlank="true" errorStyle="stop" operator="between" showDropDown="false" showErrorMessage="false" showInputMessage="false" sqref="E5:E12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9" min="6" style="0" width="13"/>
    <col collapsed="false" customWidth="true" hidden="false" outlineLevel="0" max="11" min="10" style="0" width="10"/>
    <col collapsed="false" customWidth="true" hidden="false" outlineLevel="0" max="12" min="12" style="0" width="11"/>
    <col collapsed="false" customWidth="true" hidden="false" outlineLevel="0" max="13" min="13" style="0" width="22"/>
  </cols>
  <sheetData>
    <row r="1" customFormat="false" ht="17.35" hidden="false" customHeight="false" outlineLevel="0" collapsed="false">
      <c r="A1" s="1" t="s">
        <v>241</v>
      </c>
    </row>
    <row r="2" customFormat="false" ht="15" hidden="false" customHeight="false" outlineLevel="0" collapsed="false">
      <c r="A2" s="2" t="s">
        <v>242</v>
      </c>
    </row>
    <row r="3" customFormat="false" ht="15" hidden="false" customHeight="false" outlineLevel="0" collapsed="false">
      <c r="A3" s="7" t="s">
        <v>243</v>
      </c>
      <c r="B3" s="23" t="n">
        <f aca="false">Weekly_Exec_Report!C4</f>
        <v>45982</v>
      </c>
    </row>
    <row r="5" customFormat="false" ht="30" hidden="false" customHeight="true" outlineLevel="0" collapsed="false">
      <c r="A5" s="9" t="s">
        <v>49</v>
      </c>
      <c r="B5" s="9" t="s">
        <v>50</v>
      </c>
      <c r="C5" s="9" t="s">
        <v>244</v>
      </c>
      <c r="D5" s="9" t="s">
        <v>51</v>
      </c>
      <c r="E5" s="9" t="s">
        <v>245</v>
      </c>
      <c r="F5" s="9" t="s">
        <v>246</v>
      </c>
      <c r="G5" s="9" t="s">
        <v>247</v>
      </c>
      <c r="H5" s="9" t="s">
        <v>248</v>
      </c>
      <c r="I5" s="9" t="s">
        <v>53</v>
      </c>
      <c r="J5" s="9" t="s">
        <v>249</v>
      </c>
      <c r="K5" s="9" t="s">
        <v>250</v>
      </c>
      <c r="L5" s="9" t="s">
        <v>251</v>
      </c>
      <c r="M5" s="9" t="s">
        <v>52</v>
      </c>
    </row>
    <row r="6" customFormat="false" ht="15" hidden="false" customHeight="false" outlineLevel="0" collapsed="false">
      <c r="A6" s="10" t="s">
        <v>88</v>
      </c>
      <c r="B6" s="10" t="s">
        <v>252</v>
      </c>
      <c r="C6" s="10" t="s">
        <v>253</v>
      </c>
      <c r="D6" s="10" t="s">
        <v>74</v>
      </c>
      <c r="E6" s="15" t="n">
        <v>480000</v>
      </c>
      <c r="F6" s="15" t="n">
        <v>377000</v>
      </c>
      <c r="G6" s="15" t="n">
        <v>254000</v>
      </c>
      <c r="H6" s="15" t="n">
        <f aca="false">E6-F6</f>
        <v>103000</v>
      </c>
      <c r="I6" s="15" t="n">
        <f aca="false">F6-G6</f>
        <v>123000</v>
      </c>
      <c r="J6" s="12" t="n">
        <f aca="false">IFERROR(F6/E6,0)</f>
        <v>0.785416666666667</v>
      </c>
      <c r="K6" s="10" t="s">
        <v>254</v>
      </c>
      <c r="L6" s="17" t="n">
        <v>46042</v>
      </c>
      <c r="M6" s="10" t="str">
        <f aca="false">IF(K6="Closed","",IF(AND(L6&lt;$B$3,K6&lt;&gt;"Closed"),"Closeout overdue",IF(J6&gt;=0.95,"Over 95% committed",IF(L6-$B$3&lt;=30,"Closeout within 30 days",""))))</f>
        <v/>
      </c>
    </row>
    <row r="7" customFormat="false" ht="15" hidden="false" customHeight="false" outlineLevel="0" collapsed="false">
      <c r="A7" s="10" t="s">
        <v>115</v>
      </c>
      <c r="B7" s="10" t="s">
        <v>255</v>
      </c>
      <c r="C7" s="10" t="s">
        <v>256</v>
      </c>
      <c r="D7" s="10" t="s">
        <v>99</v>
      </c>
      <c r="E7" s="15" t="n">
        <v>2800000</v>
      </c>
      <c r="F7" s="15" t="n">
        <v>2238000</v>
      </c>
      <c r="G7" s="15" t="n">
        <v>1656000</v>
      </c>
      <c r="H7" s="15" t="n">
        <f aca="false">E7-F7</f>
        <v>562000</v>
      </c>
      <c r="I7" s="15" t="n">
        <f aca="false">F7-G7</f>
        <v>582000</v>
      </c>
      <c r="J7" s="12" t="n">
        <f aca="false">IFERROR(F7/E7,0)</f>
        <v>0.799285714285714</v>
      </c>
      <c r="K7" s="10" t="s">
        <v>254</v>
      </c>
      <c r="L7" s="17" t="n">
        <v>46030</v>
      </c>
      <c r="M7" s="10" t="str">
        <f aca="false">IF(K7="Closed","",IF(AND(L7&lt;$B$3,K7&lt;&gt;"Closed"),"Closeout overdue",IF(J7&gt;=0.95,"Over 95% committed",IF(L7-$B$3&lt;=30,"Closeout within 30 days",""))))</f>
        <v/>
      </c>
    </row>
    <row r="8" customFormat="false" ht="15" hidden="false" customHeight="false" outlineLevel="0" collapsed="false">
      <c r="A8" s="10" t="s">
        <v>101</v>
      </c>
      <c r="B8" s="10" t="s">
        <v>257</v>
      </c>
      <c r="C8" s="10" t="s">
        <v>258</v>
      </c>
      <c r="D8" s="10" t="s">
        <v>85</v>
      </c>
      <c r="E8" s="15" t="n">
        <v>750000</v>
      </c>
      <c r="F8" s="15" t="n">
        <v>668000</v>
      </c>
      <c r="G8" s="15" t="n">
        <v>375000</v>
      </c>
      <c r="H8" s="15" t="n">
        <f aca="false">E8-F8</f>
        <v>82000</v>
      </c>
      <c r="I8" s="15" t="n">
        <f aca="false">F8-G8</f>
        <v>293000</v>
      </c>
      <c r="J8" s="12" t="n">
        <f aca="false">IFERROR(F8/E8,0)</f>
        <v>0.890666666666667</v>
      </c>
      <c r="K8" s="10" t="s">
        <v>254</v>
      </c>
      <c r="L8" s="17" t="n">
        <v>46173</v>
      </c>
      <c r="M8" s="10" t="str">
        <f aca="false">IF(K8="Closed","",IF(AND(L8&lt;$B$3,K8&lt;&gt;"Closed"),"Closeout overdue",IF(J8&gt;=0.95,"Over 95% committed",IF(L8-$B$3&lt;=30,"Closeout within 30 days",""))))</f>
        <v/>
      </c>
    </row>
    <row r="9" customFormat="false" ht="15" hidden="false" customHeight="false" outlineLevel="0" collapsed="false">
      <c r="A9" s="10" t="s">
        <v>105</v>
      </c>
      <c r="B9" s="10" t="s">
        <v>259</v>
      </c>
      <c r="C9" s="10" t="s">
        <v>253</v>
      </c>
      <c r="D9" s="10" t="s">
        <v>81</v>
      </c>
      <c r="E9" s="15" t="n">
        <v>1500000</v>
      </c>
      <c r="F9" s="15" t="n">
        <v>1485000</v>
      </c>
      <c r="G9" s="15" t="n">
        <v>1013000</v>
      </c>
      <c r="H9" s="15" t="n">
        <f aca="false">E9-F9</f>
        <v>15000</v>
      </c>
      <c r="I9" s="15" t="n">
        <f aca="false">F9-G9</f>
        <v>472000</v>
      </c>
      <c r="J9" s="12" t="n">
        <f aca="false">IFERROR(F9/E9,0)</f>
        <v>0.99</v>
      </c>
      <c r="K9" s="10" t="s">
        <v>254</v>
      </c>
      <c r="L9" s="17" t="n">
        <v>46047</v>
      </c>
      <c r="M9" s="10" t="str">
        <f aca="false">IF(K9="Closed","",IF(AND(L9&lt;$B$3,K9&lt;&gt;"Closed"),"Closeout overdue",IF(J9&gt;=0.95,"Over 95% committed",IF(L9-$B$3&lt;=30,"Closeout within 30 days",""))))</f>
        <v>Over 95% committed</v>
      </c>
    </row>
    <row r="10" customFormat="false" ht="15" hidden="false" customHeight="false" outlineLevel="0" collapsed="false">
      <c r="A10" s="10" t="s">
        <v>95</v>
      </c>
      <c r="B10" s="10" t="s">
        <v>260</v>
      </c>
      <c r="C10" s="10" t="s">
        <v>256</v>
      </c>
      <c r="D10" s="10" t="s">
        <v>74</v>
      </c>
      <c r="E10" s="15" t="n">
        <v>1200000</v>
      </c>
      <c r="F10" s="15" t="n">
        <v>1009000</v>
      </c>
      <c r="G10" s="15" t="n">
        <v>653000</v>
      </c>
      <c r="H10" s="15" t="n">
        <f aca="false">E10-F10</f>
        <v>191000</v>
      </c>
      <c r="I10" s="15" t="n">
        <f aca="false">F10-G10</f>
        <v>356000</v>
      </c>
      <c r="J10" s="12" t="n">
        <f aca="false">IFERROR(F10/E10,0)</f>
        <v>0.840833333333333</v>
      </c>
      <c r="K10" s="10" t="s">
        <v>254</v>
      </c>
      <c r="L10" s="17" t="n">
        <v>46033</v>
      </c>
      <c r="M10" s="10" t="str">
        <f aca="false">IF(K10="Closed","",IF(AND(L10&lt;$B$3,K10&lt;&gt;"Closed"),"Closeout overdue",IF(J10&gt;=0.95,"Over 95% committed",IF(L10-$B$3&lt;=30,"Closeout within 30 days",""))))</f>
        <v/>
      </c>
    </row>
    <row r="11" customFormat="false" ht="15" hidden="false" customHeight="false" outlineLevel="0" collapsed="false">
      <c r="A11" s="10" t="s">
        <v>79</v>
      </c>
      <c r="B11" s="10" t="s">
        <v>261</v>
      </c>
      <c r="C11" s="10" t="s">
        <v>258</v>
      </c>
      <c r="D11" s="10" t="s">
        <v>74</v>
      </c>
      <c r="E11" s="15" t="n">
        <v>1500000</v>
      </c>
      <c r="F11" s="15" t="n">
        <v>1202000</v>
      </c>
      <c r="G11" s="15" t="n">
        <v>1120000</v>
      </c>
      <c r="H11" s="15" t="n">
        <f aca="false">E11-F11</f>
        <v>298000</v>
      </c>
      <c r="I11" s="15" t="n">
        <f aca="false">F11-G11</f>
        <v>82000</v>
      </c>
      <c r="J11" s="12" t="n">
        <f aca="false">IFERROR(F11/E11,0)</f>
        <v>0.801333333333333</v>
      </c>
      <c r="K11" s="10" t="s">
        <v>262</v>
      </c>
      <c r="L11" s="17" t="n">
        <v>46074</v>
      </c>
      <c r="M11" s="10" t="str">
        <f aca="false">IF(K11="Closed","",IF(AND(L11&lt;$B$3,K11&lt;&gt;"Closed"),"Closeout overdue",IF(J11&gt;=0.95,"Over 95% committed",IF(L11-$B$3&lt;=30,"Closeout within 30 days",""))))</f>
        <v/>
      </c>
    </row>
    <row r="12" customFormat="false" ht="15" hidden="false" customHeight="false" outlineLevel="0" collapsed="false">
      <c r="A12" s="10" t="s">
        <v>84</v>
      </c>
      <c r="B12" s="10" t="s">
        <v>263</v>
      </c>
      <c r="C12" s="10" t="s">
        <v>253</v>
      </c>
      <c r="D12" s="10" t="s">
        <v>85</v>
      </c>
      <c r="E12" s="15" t="n">
        <v>2100000</v>
      </c>
      <c r="F12" s="15" t="n">
        <v>1886000</v>
      </c>
      <c r="G12" s="15" t="n">
        <v>1863000</v>
      </c>
      <c r="H12" s="15" t="n">
        <f aca="false">E12-F12</f>
        <v>214000</v>
      </c>
      <c r="I12" s="15" t="n">
        <f aca="false">F12-G12</f>
        <v>23000</v>
      </c>
      <c r="J12" s="12" t="n">
        <f aca="false">IFERROR(F12/E12,0)</f>
        <v>0.898095238095238</v>
      </c>
      <c r="K12" s="10" t="s">
        <v>262</v>
      </c>
      <c r="L12" s="17" t="n">
        <v>45941</v>
      </c>
      <c r="M12" s="10" t="str">
        <f aca="false">IF(K12="Closed","",IF(AND(L12&lt;$B$3,K12&lt;&gt;"Closed"),"Closeout overdue",IF(J12&gt;=0.95,"Over 95% committed",IF(L12-$B$3&lt;=30,"Closeout within 30 days",""))))</f>
        <v>Closeout overdue</v>
      </c>
    </row>
    <row r="13" customFormat="false" ht="15" hidden="false" customHeight="false" outlineLevel="0" collapsed="false">
      <c r="A13" s="10" t="s">
        <v>103</v>
      </c>
      <c r="B13" s="10" t="s">
        <v>264</v>
      </c>
      <c r="C13" s="10" t="s">
        <v>256</v>
      </c>
      <c r="D13" s="10" t="s">
        <v>99</v>
      </c>
      <c r="E13" s="15" t="n">
        <v>900000</v>
      </c>
      <c r="F13" s="15" t="n">
        <v>866000</v>
      </c>
      <c r="G13" s="15" t="n">
        <v>717000</v>
      </c>
      <c r="H13" s="15" t="n">
        <f aca="false">E13-F13</f>
        <v>34000</v>
      </c>
      <c r="I13" s="15" t="n">
        <f aca="false">F13-G13</f>
        <v>149000</v>
      </c>
      <c r="J13" s="12" t="n">
        <f aca="false">IFERROR(F13/E13,0)</f>
        <v>0.962222222222222</v>
      </c>
      <c r="K13" s="10" t="s">
        <v>254</v>
      </c>
      <c r="L13" s="17" t="n">
        <v>46154</v>
      </c>
      <c r="M13" s="10" t="str">
        <f aca="false">IF(K13="Closed","",IF(AND(L13&lt;$B$3,K13&lt;&gt;"Closed"),"Closeout overdue",IF(J13&gt;=0.95,"Over 95% committed",IF(L13-$B$3&lt;=30,"Closeout within 30 days",""))))</f>
        <v>Over 95% committed</v>
      </c>
    </row>
    <row r="14" customFormat="false" ht="15" hidden="false" customHeight="false" outlineLevel="0" collapsed="false">
      <c r="A14" s="10" t="s">
        <v>98</v>
      </c>
      <c r="B14" s="10" t="s">
        <v>265</v>
      </c>
      <c r="C14" s="10" t="s">
        <v>258</v>
      </c>
      <c r="D14" s="10" t="s">
        <v>99</v>
      </c>
      <c r="E14" s="15" t="n">
        <v>480000</v>
      </c>
      <c r="F14" s="15" t="n">
        <v>379000</v>
      </c>
      <c r="G14" s="15" t="n">
        <v>247000</v>
      </c>
      <c r="H14" s="15" t="n">
        <f aca="false">E14-F14</f>
        <v>101000</v>
      </c>
      <c r="I14" s="15" t="n">
        <f aca="false">F14-G14</f>
        <v>132000</v>
      </c>
      <c r="J14" s="12" t="n">
        <f aca="false">IFERROR(F14/E14,0)</f>
        <v>0.789583333333333</v>
      </c>
      <c r="K14" s="10" t="s">
        <v>254</v>
      </c>
      <c r="L14" s="17" t="n">
        <v>46027</v>
      </c>
      <c r="M14" s="10" t="str">
        <f aca="false">IF(K14="Closed","",IF(AND(L14&lt;$B$3,K14&lt;&gt;"Closed"),"Closeout overdue",IF(J14&gt;=0.95,"Over 95% committed",IF(L14-$B$3&lt;=30,"Closeout within 30 days",""))))</f>
        <v/>
      </c>
    </row>
    <row r="15" customFormat="false" ht="15" hidden="false" customHeight="false" outlineLevel="0" collapsed="false">
      <c r="A15" s="10" t="s">
        <v>92</v>
      </c>
      <c r="B15" s="10" t="s">
        <v>266</v>
      </c>
      <c r="C15" s="10" t="s">
        <v>253</v>
      </c>
      <c r="D15" s="10" t="s">
        <v>96</v>
      </c>
      <c r="E15" s="15" t="n">
        <v>480000</v>
      </c>
      <c r="F15" s="15" t="n">
        <v>415000</v>
      </c>
      <c r="G15" s="15" t="n">
        <v>313000</v>
      </c>
      <c r="H15" s="15" t="n">
        <f aca="false">E15-F15</f>
        <v>65000</v>
      </c>
      <c r="I15" s="15" t="n">
        <f aca="false">F15-G15</f>
        <v>102000</v>
      </c>
      <c r="J15" s="12" t="n">
        <f aca="false">IFERROR(F15/E15,0)</f>
        <v>0.864583333333333</v>
      </c>
      <c r="K15" s="10" t="s">
        <v>262</v>
      </c>
      <c r="L15" s="17" t="n">
        <v>45964</v>
      </c>
      <c r="M15" s="10" t="str">
        <f aca="false">IF(K15="Closed","",IF(AND(L15&lt;$B$3,K15&lt;&gt;"Closed"),"Closeout overdue",IF(J15&gt;=0.95,"Over 95% committed",IF(L15-$B$3&lt;=30,"Closeout within 30 days",""))))</f>
        <v>Closeout overdue</v>
      </c>
    </row>
    <row r="16" customFormat="false" ht="15" hidden="false" customHeight="false" outlineLevel="0" collapsed="false">
      <c r="A16" s="10" t="s">
        <v>72</v>
      </c>
      <c r="B16" s="10" t="s">
        <v>267</v>
      </c>
      <c r="C16" s="10" t="s">
        <v>256</v>
      </c>
      <c r="D16" s="10" t="s">
        <v>85</v>
      </c>
      <c r="E16" s="15" t="n">
        <v>1200000</v>
      </c>
      <c r="F16" s="15" t="n">
        <v>991000</v>
      </c>
      <c r="G16" s="15" t="n">
        <v>991000</v>
      </c>
      <c r="H16" s="15" t="n">
        <f aca="false">E16-F16</f>
        <v>209000</v>
      </c>
      <c r="I16" s="15" t="n">
        <f aca="false">F16-G16</f>
        <v>0</v>
      </c>
      <c r="J16" s="12" t="n">
        <f aca="false">IFERROR(F16/E16,0)</f>
        <v>0.825833333333333</v>
      </c>
      <c r="K16" s="10" t="s">
        <v>268</v>
      </c>
      <c r="L16" s="17" t="n">
        <v>45968</v>
      </c>
      <c r="M16" s="10" t="str">
        <f aca="false">IF(K16="Closed","",IF(AND(L16&lt;$B$3,K16&lt;&gt;"Closed"),"Closeout overdue",IF(J16&gt;=0.95,"Over 95% committed",IF(L16-$B$3&lt;=30,"Closeout within 30 days",""))))</f>
        <v/>
      </c>
    </row>
    <row r="17" customFormat="false" ht="15" hidden="false" customHeight="false" outlineLevel="0" collapsed="false">
      <c r="A17" s="10" t="s">
        <v>269</v>
      </c>
      <c r="B17" s="10" t="s">
        <v>270</v>
      </c>
      <c r="C17" s="10" t="s">
        <v>258</v>
      </c>
      <c r="D17" s="10" t="s">
        <v>96</v>
      </c>
      <c r="E17" s="15" t="n">
        <v>620000</v>
      </c>
      <c r="F17" s="15" t="n">
        <v>556000</v>
      </c>
      <c r="G17" s="15" t="n">
        <v>367000</v>
      </c>
      <c r="H17" s="15" t="n">
        <f aca="false">E17-F17</f>
        <v>64000</v>
      </c>
      <c r="I17" s="15" t="n">
        <f aca="false">F17-G17</f>
        <v>189000</v>
      </c>
      <c r="J17" s="12" t="n">
        <f aca="false">IFERROR(F17/E17,0)</f>
        <v>0.896774193548387</v>
      </c>
      <c r="K17" s="10" t="s">
        <v>262</v>
      </c>
      <c r="L17" s="17" t="n">
        <v>46104</v>
      </c>
      <c r="M17" s="10" t="str">
        <f aca="false">IF(K17="Closed","",IF(AND(L17&lt;$B$3,K17&lt;&gt;"Closed"),"Closeout overdue",IF(J17&gt;=0.95,"Over 95% committed",IF(L17-$B$3&lt;=30,"Closeout within 30 days",""))))</f>
        <v/>
      </c>
    </row>
    <row r="18" customFormat="false" ht="15" hidden="false" customHeight="false" outlineLevel="0" collapsed="false">
      <c r="A18" s="10"/>
      <c r="B18" s="19" t="s">
        <v>271</v>
      </c>
      <c r="C18" s="10"/>
      <c r="D18" s="10"/>
      <c r="E18" s="24" t="n">
        <f aca="false">SUM(E6:E17)</f>
        <v>14010000</v>
      </c>
      <c r="F18" s="24" t="n">
        <f aca="false">SUM(F6:F17)</f>
        <v>12072000</v>
      </c>
      <c r="G18" s="24" t="n">
        <f aca="false">SUM(G6:G17)</f>
        <v>9569000</v>
      </c>
      <c r="H18" s="24" t="n">
        <f aca="false">SUM(H6:H17)</f>
        <v>1938000</v>
      </c>
      <c r="I18" s="24" t="n">
        <f aca="false">SUM(I6:I17)</f>
        <v>2503000</v>
      </c>
      <c r="J18" s="12" t="n">
        <f aca="false">IFERROR(F18/E18,0)</f>
        <v>0.861670235546039</v>
      </c>
      <c r="K18" s="10"/>
      <c r="L18" s="10"/>
      <c r="M18" s="10"/>
    </row>
  </sheetData>
  <conditionalFormatting sqref="A6:M17">
    <cfRule type="expression" priority="2" aboveAverage="0" equalAverage="0" bottom="0" percent="0" rank="0" text="" dxfId="4">
      <formula>$M6&lt;&gt;""</formula>
    </cfRule>
  </conditionalFormatting>
  <conditionalFormatting sqref="M6:M17">
    <cfRule type="expression" priority="3" aboveAverage="0" equalAverage="0" bottom="0" percent="0" rank="0" text="" dxfId="0">
      <formula>$M6="Closeout overdue"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2026-10-26T05:44:15Z</dcterms:created>
  <dc:creator>openpyxl</dc:creator>
  <dc:description/>
  <dc:language>en-US</dc:language>
  <cp:lastModifiedBy/>
  <dcterms:modified xsi:type="dcterms:W3CDTF">2026-10-26T05:44:15Z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